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bar\Downloads\"/>
    </mc:Choice>
  </mc:AlternateContent>
  <xr:revisionPtr revIDLastSave="0" documentId="13_ncr:1_{7BD7774D-9A2D-471D-951F-A6A7C0CAC8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Budget vs Actual Data" sheetId="2" r:id="rId2"/>
    <sheet name="Monthly Summary" sheetId="3" r:id="rId3"/>
    <sheet name="Category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E13" i="4" s="1"/>
  <c r="C13" i="4"/>
  <c r="F13" i="4" s="1"/>
  <c r="G13" i="4" s="1"/>
  <c r="D12" i="4"/>
  <c r="E12" i="4" s="1"/>
  <c r="C12" i="4"/>
  <c r="F12" i="4" s="1"/>
  <c r="G12" i="4" s="1"/>
  <c r="D11" i="4"/>
  <c r="E11" i="4" s="1"/>
  <c r="C11" i="4"/>
  <c r="F11" i="4" s="1"/>
  <c r="G11" i="4" s="1"/>
  <c r="D10" i="4"/>
  <c r="E10" i="4" s="1"/>
  <c r="C10" i="4"/>
  <c r="F10" i="4" s="1"/>
  <c r="G10" i="4" s="1"/>
  <c r="D9" i="4"/>
  <c r="E9" i="4" s="1"/>
  <c r="C9" i="4"/>
  <c r="F9" i="4" s="1"/>
  <c r="G9" i="4" s="1"/>
  <c r="D8" i="4"/>
  <c r="E8" i="4" s="1"/>
  <c r="C8" i="4"/>
  <c r="F8" i="4" s="1"/>
  <c r="G8" i="4" s="1"/>
  <c r="D7" i="4"/>
  <c r="E7" i="4" s="1"/>
  <c r="C7" i="4"/>
  <c r="F7" i="4" s="1"/>
  <c r="G7" i="4" s="1"/>
  <c r="D6" i="4"/>
  <c r="E6" i="4" s="1"/>
  <c r="C6" i="4"/>
  <c r="F6" i="4" s="1"/>
  <c r="G6" i="4" s="1"/>
  <c r="D5" i="4"/>
  <c r="E5" i="4" s="1"/>
  <c r="C5" i="4"/>
  <c r="F5" i="4" s="1"/>
  <c r="G5" i="4" s="1"/>
  <c r="D4" i="4"/>
  <c r="E4" i="4" s="1"/>
  <c r="C4" i="4"/>
  <c r="F4" i="4" s="1"/>
  <c r="G4" i="4" s="1"/>
  <c r="D3" i="4"/>
  <c r="E3" i="4" s="1"/>
  <c r="C3" i="4"/>
  <c r="F3" i="4" s="1"/>
  <c r="G3" i="4" s="1"/>
  <c r="D2" i="4"/>
  <c r="C2" i="4"/>
  <c r="B14" i="3"/>
  <c r="C13" i="3"/>
  <c r="D13" i="3" s="1"/>
  <c r="B13" i="3"/>
  <c r="E13" i="3" s="1"/>
  <c r="F13" i="3" s="1"/>
  <c r="C12" i="3"/>
  <c r="D12" i="3" s="1"/>
  <c r="B12" i="3"/>
  <c r="E12" i="3" s="1"/>
  <c r="F12" i="3" s="1"/>
  <c r="C11" i="3"/>
  <c r="D11" i="3" s="1"/>
  <c r="B11" i="3"/>
  <c r="E11" i="3" s="1"/>
  <c r="F11" i="3" s="1"/>
  <c r="C10" i="3"/>
  <c r="D10" i="3" s="1"/>
  <c r="B10" i="3"/>
  <c r="E10" i="3" s="1"/>
  <c r="F10" i="3" s="1"/>
  <c r="C9" i="3"/>
  <c r="D9" i="3" s="1"/>
  <c r="B9" i="3"/>
  <c r="E9" i="3" s="1"/>
  <c r="F9" i="3" s="1"/>
  <c r="C8" i="3"/>
  <c r="D8" i="3" s="1"/>
  <c r="B8" i="3"/>
  <c r="E8" i="3" s="1"/>
  <c r="F8" i="3" s="1"/>
  <c r="C7" i="3"/>
  <c r="D7" i="3" s="1"/>
  <c r="B7" i="3"/>
  <c r="E7" i="3" s="1"/>
  <c r="F7" i="3" s="1"/>
  <c r="C6" i="3"/>
  <c r="D6" i="3" s="1"/>
  <c r="B6" i="3"/>
  <c r="E6" i="3" s="1"/>
  <c r="F6" i="3" s="1"/>
  <c r="C5" i="3"/>
  <c r="D5" i="3" s="1"/>
  <c r="B5" i="3"/>
  <c r="E5" i="3" s="1"/>
  <c r="F5" i="3" s="1"/>
  <c r="C4" i="3"/>
  <c r="D4" i="3" s="1"/>
  <c r="B4" i="3"/>
  <c r="E4" i="3" s="1"/>
  <c r="F4" i="3" s="1"/>
  <c r="C3" i="3"/>
  <c r="D3" i="3" s="1"/>
  <c r="B3" i="3"/>
  <c r="E3" i="3" s="1"/>
  <c r="F3" i="3" s="1"/>
  <c r="C2" i="3"/>
  <c r="B2" i="3"/>
  <c r="G145" i="2"/>
  <c r="H145" i="2" s="1"/>
  <c r="I145" i="2" s="1"/>
  <c r="F145" i="2"/>
  <c r="G144" i="2"/>
  <c r="H144" i="2" s="1"/>
  <c r="I144" i="2" s="1"/>
  <c r="F144" i="2"/>
  <c r="G143" i="2"/>
  <c r="H143" i="2" s="1"/>
  <c r="I143" i="2" s="1"/>
  <c r="F143" i="2"/>
  <c r="F142" i="2"/>
  <c r="G142" i="2" s="1"/>
  <c r="H142" i="2" s="1"/>
  <c r="I142" i="2" s="1"/>
  <c r="G141" i="2"/>
  <c r="H141" i="2" s="1"/>
  <c r="I141" i="2" s="1"/>
  <c r="F141" i="2"/>
  <c r="F140" i="2"/>
  <c r="G140" i="2" s="1"/>
  <c r="H140" i="2" s="1"/>
  <c r="I140" i="2" s="1"/>
  <c r="F139" i="2"/>
  <c r="G139" i="2" s="1"/>
  <c r="H139" i="2" s="1"/>
  <c r="I139" i="2" s="1"/>
  <c r="F138" i="2"/>
  <c r="G138" i="2" s="1"/>
  <c r="H138" i="2" s="1"/>
  <c r="I138" i="2" s="1"/>
  <c r="G137" i="2"/>
  <c r="H137" i="2" s="1"/>
  <c r="I137" i="2" s="1"/>
  <c r="F137" i="2"/>
  <c r="F136" i="2"/>
  <c r="G136" i="2" s="1"/>
  <c r="H136" i="2" s="1"/>
  <c r="I136" i="2" s="1"/>
  <c r="G135" i="2"/>
  <c r="H135" i="2" s="1"/>
  <c r="I135" i="2" s="1"/>
  <c r="F135" i="2"/>
  <c r="F134" i="2"/>
  <c r="G134" i="2" s="1"/>
  <c r="H134" i="2" s="1"/>
  <c r="I134" i="2" s="1"/>
  <c r="F133" i="2"/>
  <c r="G133" i="2" s="1"/>
  <c r="H133" i="2" s="1"/>
  <c r="I133" i="2" s="1"/>
  <c r="F132" i="2"/>
  <c r="G132" i="2" s="1"/>
  <c r="H132" i="2" s="1"/>
  <c r="I132" i="2" s="1"/>
  <c r="F131" i="2"/>
  <c r="G131" i="2" s="1"/>
  <c r="H131" i="2" s="1"/>
  <c r="I131" i="2" s="1"/>
  <c r="F130" i="2"/>
  <c r="G130" i="2" s="1"/>
  <c r="H130" i="2" s="1"/>
  <c r="I130" i="2" s="1"/>
  <c r="F129" i="2"/>
  <c r="G129" i="2" s="1"/>
  <c r="H129" i="2" s="1"/>
  <c r="I129" i="2" s="1"/>
  <c r="F128" i="2"/>
  <c r="G128" i="2" s="1"/>
  <c r="H128" i="2" s="1"/>
  <c r="I128" i="2" s="1"/>
  <c r="F127" i="2"/>
  <c r="G127" i="2" s="1"/>
  <c r="H127" i="2" s="1"/>
  <c r="I127" i="2" s="1"/>
  <c r="F126" i="2"/>
  <c r="G126" i="2" s="1"/>
  <c r="H126" i="2" s="1"/>
  <c r="I126" i="2" s="1"/>
  <c r="F125" i="2"/>
  <c r="G125" i="2" s="1"/>
  <c r="H125" i="2" s="1"/>
  <c r="I125" i="2" s="1"/>
  <c r="F124" i="2"/>
  <c r="G124" i="2" s="1"/>
  <c r="H124" i="2" s="1"/>
  <c r="I124" i="2" s="1"/>
  <c r="F123" i="2"/>
  <c r="G123" i="2" s="1"/>
  <c r="H123" i="2" s="1"/>
  <c r="I123" i="2" s="1"/>
  <c r="F122" i="2"/>
  <c r="G122" i="2" s="1"/>
  <c r="H122" i="2" s="1"/>
  <c r="I122" i="2" s="1"/>
  <c r="F121" i="2"/>
  <c r="G121" i="2" s="1"/>
  <c r="H121" i="2" s="1"/>
  <c r="I121" i="2" s="1"/>
  <c r="F120" i="2"/>
  <c r="G120" i="2" s="1"/>
  <c r="H120" i="2" s="1"/>
  <c r="I120" i="2" s="1"/>
  <c r="F119" i="2"/>
  <c r="G119" i="2" s="1"/>
  <c r="H119" i="2" s="1"/>
  <c r="I119" i="2" s="1"/>
  <c r="G118" i="2"/>
  <c r="H118" i="2" s="1"/>
  <c r="I118" i="2" s="1"/>
  <c r="F118" i="2"/>
  <c r="F117" i="2"/>
  <c r="G117" i="2" s="1"/>
  <c r="H117" i="2" s="1"/>
  <c r="I117" i="2" s="1"/>
  <c r="F116" i="2"/>
  <c r="G116" i="2" s="1"/>
  <c r="H116" i="2" s="1"/>
  <c r="I116" i="2" s="1"/>
  <c r="F115" i="2"/>
  <c r="G115" i="2" s="1"/>
  <c r="H115" i="2" s="1"/>
  <c r="I115" i="2" s="1"/>
  <c r="F114" i="2"/>
  <c r="G114" i="2" s="1"/>
  <c r="H114" i="2" s="1"/>
  <c r="I114" i="2" s="1"/>
  <c r="F113" i="2"/>
  <c r="G113" i="2" s="1"/>
  <c r="H113" i="2" s="1"/>
  <c r="I113" i="2" s="1"/>
  <c r="F112" i="2"/>
  <c r="G112" i="2" s="1"/>
  <c r="H112" i="2" s="1"/>
  <c r="I112" i="2" s="1"/>
  <c r="F111" i="2"/>
  <c r="G111" i="2" s="1"/>
  <c r="H111" i="2" s="1"/>
  <c r="I111" i="2" s="1"/>
  <c r="F110" i="2"/>
  <c r="G110" i="2" s="1"/>
  <c r="H110" i="2" s="1"/>
  <c r="I110" i="2" s="1"/>
  <c r="F109" i="2"/>
  <c r="G109" i="2" s="1"/>
  <c r="H109" i="2" s="1"/>
  <c r="I109" i="2" s="1"/>
  <c r="F108" i="2"/>
  <c r="G108" i="2" s="1"/>
  <c r="H108" i="2" s="1"/>
  <c r="I108" i="2" s="1"/>
  <c r="F107" i="2"/>
  <c r="G107" i="2" s="1"/>
  <c r="H107" i="2" s="1"/>
  <c r="I107" i="2" s="1"/>
  <c r="F106" i="2"/>
  <c r="G106" i="2" s="1"/>
  <c r="H106" i="2" s="1"/>
  <c r="I106" i="2" s="1"/>
  <c r="F105" i="2"/>
  <c r="G105" i="2" s="1"/>
  <c r="H105" i="2" s="1"/>
  <c r="I105" i="2" s="1"/>
  <c r="F104" i="2"/>
  <c r="G104" i="2" s="1"/>
  <c r="H104" i="2" s="1"/>
  <c r="I104" i="2" s="1"/>
  <c r="G103" i="2"/>
  <c r="H103" i="2" s="1"/>
  <c r="I103" i="2" s="1"/>
  <c r="F103" i="2"/>
  <c r="F102" i="2"/>
  <c r="G102" i="2" s="1"/>
  <c r="H102" i="2" s="1"/>
  <c r="I102" i="2" s="1"/>
  <c r="F101" i="2"/>
  <c r="G101" i="2" s="1"/>
  <c r="H101" i="2" s="1"/>
  <c r="I101" i="2" s="1"/>
  <c r="F100" i="2"/>
  <c r="G100" i="2" s="1"/>
  <c r="H100" i="2" s="1"/>
  <c r="I100" i="2" s="1"/>
  <c r="F99" i="2"/>
  <c r="G99" i="2" s="1"/>
  <c r="H99" i="2" s="1"/>
  <c r="I99" i="2" s="1"/>
  <c r="F98" i="2"/>
  <c r="G98" i="2" s="1"/>
  <c r="H98" i="2" s="1"/>
  <c r="I98" i="2" s="1"/>
  <c r="F97" i="2"/>
  <c r="G97" i="2" s="1"/>
  <c r="H97" i="2" s="1"/>
  <c r="I97" i="2" s="1"/>
  <c r="F96" i="2"/>
  <c r="G96" i="2" s="1"/>
  <c r="H96" i="2" s="1"/>
  <c r="I96" i="2" s="1"/>
  <c r="F95" i="2"/>
  <c r="G95" i="2" s="1"/>
  <c r="H95" i="2" s="1"/>
  <c r="I95" i="2" s="1"/>
  <c r="F94" i="2"/>
  <c r="G94" i="2" s="1"/>
  <c r="H94" i="2" s="1"/>
  <c r="I94" i="2" s="1"/>
  <c r="F93" i="2"/>
  <c r="G93" i="2" s="1"/>
  <c r="H93" i="2" s="1"/>
  <c r="I93" i="2" s="1"/>
  <c r="F92" i="2"/>
  <c r="G92" i="2" s="1"/>
  <c r="H92" i="2" s="1"/>
  <c r="I92" i="2" s="1"/>
  <c r="F91" i="2"/>
  <c r="G91" i="2" s="1"/>
  <c r="H91" i="2" s="1"/>
  <c r="I91" i="2" s="1"/>
  <c r="F90" i="2"/>
  <c r="G90" i="2" s="1"/>
  <c r="H90" i="2" s="1"/>
  <c r="I90" i="2" s="1"/>
  <c r="F89" i="2"/>
  <c r="G89" i="2" s="1"/>
  <c r="H89" i="2" s="1"/>
  <c r="I89" i="2" s="1"/>
  <c r="F88" i="2"/>
  <c r="G88" i="2" s="1"/>
  <c r="H88" i="2" s="1"/>
  <c r="I88" i="2" s="1"/>
  <c r="F87" i="2"/>
  <c r="G87" i="2" s="1"/>
  <c r="H87" i="2" s="1"/>
  <c r="I87" i="2" s="1"/>
  <c r="F86" i="2"/>
  <c r="G86" i="2" s="1"/>
  <c r="H86" i="2" s="1"/>
  <c r="I86" i="2" s="1"/>
  <c r="F85" i="2"/>
  <c r="G85" i="2" s="1"/>
  <c r="H85" i="2" s="1"/>
  <c r="I85" i="2" s="1"/>
  <c r="F84" i="2"/>
  <c r="G84" i="2" s="1"/>
  <c r="H84" i="2" s="1"/>
  <c r="I84" i="2" s="1"/>
  <c r="F83" i="2"/>
  <c r="G83" i="2" s="1"/>
  <c r="H83" i="2" s="1"/>
  <c r="I83" i="2" s="1"/>
  <c r="F82" i="2"/>
  <c r="G82" i="2" s="1"/>
  <c r="H82" i="2" s="1"/>
  <c r="I82" i="2" s="1"/>
  <c r="F81" i="2"/>
  <c r="G81" i="2" s="1"/>
  <c r="H81" i="2" s="1"/>
  <c r="I81" i="2" s="1"/>
  <c r="F80" i="2"/>
  <c r="G80" i="2" s="1"/>
  <c r="H80" i="2" s="1"/>
  <c r="I80" i="2" s="1"/>
  <c r="F79" i="2"/>
  <c r="G79" i="2" s="1"/>
  <c r="H79" i="2" s="1"/>
  <c r="I79" i="2" s="1"/>
  <c r="F78" i="2"/>
  <c r="G78" i="2" s="1"/>
  <c r="H78" i="2" s="1"/>
  <c r="I78" i="2" s="1"/>
  <c r="F77" i="2"/>
  <c r="G77" i="2" s="1"/>
  <c r="H77" i="2" s="1"/>
  <c r="I77" i="2" s="1"/>
  <c r="F76" i="2"/>
  <c r="G76" i="2" s="1"/>
  <c r="H76" i="2" s="1"/>
  <c r="I76" i="2" s="1"/>
  <c r="F75" i="2"/>
  <c r="G75" i="2" s="1"/>
  <c r="H75" i="2" s="1"/>
  <c r="I75" i="2" s="1"/>
  <c r="F74" i="2"/>
  <c r="G74" i="2" s="1"/>
  <c r="H74" i="2" s="1"/>
  <c r="I74" i="2" s="1"/>
  <c r="G73" i="2"/>
  <c r="H73" i="2" s="1"/>
  <c r="I73" i="2" s="1"/>
  <c r="F73" i="2"/>
  <c r="F72" i="2"/>
  <c r="G72" i="2" s="1"/>
  <c r="H72" i="2" s="1"/>
  <c r="I72" i="2" s="1"/>
  <c r="F71" i="2"/>
  <c r="G71" i="2" s="1"/>
  <c r="H71" i="2" s="1"/>
  <c r="I71" i="2" s="1"/>
  <c r="F70" i="2"/>
  <c r="G70" i="2" s="1"/>
  <c r="H70" i="2" s="1"/>
  <c r="I70" i="2" s="1"/>
  <c r="F69" i="2"/>
  <c r="G69" i="2" s="1"/>
  <c r="H69" i="2" s="1"/>
  <c r="I69" i="2" s="1"/>
  <c r="F68" i="2"/>
  <c r="G68" i="2" s="1"/>
  <c r="H68" i="2" s="1"/>
  <c r="I68" i="2" s="1"/>
  <c r="F67" i="2"/>
  <c r="G67" i="2" s="1"/>
  <c r="H67" i="2" s="1"/>
  <c r="I67" i="2" s="1"/>
  <c r="F66" i="2"/>
  <c r="G66" i="2" s="1"/>
  <c r="H66" i="2" s="1"/>
  <c r="I66" i="2" s="1"/>
  <c r="F65" i="2"/>
  <c r="G65" i="2" s="1"/>
  <c r="H65" i="2" s="1"/>
  <c r="I65" i="2" s="1"/>
  <c r="F64" i="2"/>
  <c r="G64" i="2" s="1"/>
  <c r="H64" i="2" s="1"/>
  <c r="I64" i="2" s="1"/>
  <c r="F63" i="2"/>
  <c r="G63" i="2" s="1"/>
  <c r="H63" i="2" s="1"/>
  <c r="I63" i="2" s="1"/>
  <c r="F62" i="2"/>
  <c r="G62" i="2" s="1"/>
  <c r="H62" i="2" s="1"/>
  <c r="I62" i="2" s="1"/>
  <c r="F61" i="2"/>
  <c r="G61" i="2" s="1"/>
  <c r="H61" i="2" s="1"/>
  <c r="I61" i="2" s="1"/>
  <c r="F60" i="2"/>
  <c r="G60" i="2" s="1"/>
  <c r="H60" i="2" s="1"/>
  <c r="I60" i="2" s="1"/>
  <c r="G59" i="2"/>
  <c r="H59" i="2" s="1"/>
  <c r="I59" i="2" s="1"/>
  <c r="F59" i="2"/>
  <c r="F58" i="2"/>
  <c r="G58" i="2" s="1"/>
  <c r="H58" i="2" s="1"/>
  <c r="I58" i="2" s="1"/>
  <c r="F57" i="2"/>
  <c r="G57" i="2" s="1"/>
  <c r="H57" i="2" s="1"/>
  <c r="I57" i="2" s="1"/>
  <c r="F56" i="2"/>
  <c r="G56" i="2" s="1"/>
  <c r="H56" i="2" s="1"/>
  <c r="I56" i="2" s="1"/>
  <c r="F55" i="2"/>
  <c r="G55" i="2" s="1"/>
  <c r="H55" i="2" s="1"/>
  <c r="I55" i="2" s="1"/>
  <c r="F54" i="2"/>
  <c r="G54" i="2" s="1"/>
  <c r="H54" i="2" s="1"/>
  <c r="I54" i="2" s="1"/>
  <c r="F53" i="2"/>
  <c r="G53" i="2" s="1"/>
  <c r="H53" i="2" s="1"/>
  <c r="I53" i="2" s="1"/>
  <c r="F52" i="2"/>
  <c r="G52" i="2" s="1"/>
  <c r="H52" i="2" s="1"/>
  <c r="I52" i="2" s="1"/>
  <c r="F51" i="2"/>
  <c r="G51" i="2" s="1"/>
  <c r="H51" i="2" s="1"/>
  <c r="I51" i="2" s="1"/>
  <c r="F50" i="2"/>
  <c r="G50" i="2" s="1"/>
  <c r="H50" i="2" s="1"/>
  <c r="I50" i="2" s="1"/>
  <c r="F49" i="2"/>
  <c r="G49" i="2" s="1"/>
  <c r="H49" i="2" s="1"/>
  <c r="I49" i="2" s="1"/>
  <c r="F48" i="2"/>
  <c r="G48" i="2" s="1"/>
  <c r="H48" i="2" s="1"/>
  <c r="I48" i="2" s="1"/>
  <c r="F47" i="2"/>
  <c r="G47" i="2" s="1"/>
  <c r="H47" i="2" s="1"/>
  <c r="I47" i="2" s="1"/>
  <c r="F46" i="2"/>
  <c r="G46" i="2" s="1"/>
  <c r="H46" i="2" s="1"/>
  <c r="I46" i="2" s="1"/>
  <c r="F45" i="2"/>
  <c r="G45" i="2" s="1"/>
  <c r="H45" i="2" s="1"/>
  <c r="I45" i="2" s="1"/>
  <c r="F44" i="2"/>
  <c r="G44" i="2" s="1"/>
  <c r="H44" i="2" s="1"/>
  <c r="I44" i="2" s="1"/>
  <c r="F43" i="2"/>
  <c r="G43" i="2" s="1"/>
  <c r="H43" i="2" s="1"/>
  <c r="I43" i="2" s="1"/>
  <c r="F42" i="2"/>
  <c r="G42" i="2" s="1"/>
  <c r="H42" i="2" s="1"/>
  <c r="I42" i="2" s="1"/>
  <c r="F41" i="2"/>
  <c r="G41" i="2" s="1"/>
  <c r="H41" i="2" s="1"/>
  <c r="I41" i="2" s="1"/>
  <c r="F40" i="2"/>
  <c r="G40" i="2" s="1"/>
  <c r="H40" i="2" s="1"/>
  <c r="I40" i="2" s="1"/>
  <c r="F39" i="2"/>
  <c r="G39" i="2" s="1"/>
  <c r="H39" i="2" s="1"/>
  <c r="I39" i="2" s="1"/>
  <c r="F38" i="2"/>
  <c r="G38" i="2" s="1"/>
  <c r="H38" i="2" s="1"/>
  <c r="I38" i="2" s="1"/>
  <c r="F37" i="2"/>
  <c r="G37" i="2" s="1"/>
  <c r="H37" i="2" s="1"/>
  <c r="I37" i="2" s="1"/>
  <c r="F36" i="2"/>
  <c r="G36" i="2" s="1"/>
  <c r="H36" i="2" s="1"/>
  <c r="I36" i="2" s="1"/>
  <c r="F35" i="2"/>
  <c r="G35" i="2" s="1"/>
  <c r="H35" i="2" s="1"/>
  <c r="I35" i="2" s="1"/>
  <c r="G34" i="2"/>
  <c r="H34" i="2" s="1"/>
  <c r="I34" i="2" s="1"/>
  <c r="F34" i="2"/>
  <c r="F33" i="2"/>
  <c r="G33" i="2" s="1"/>
  <c r="H33" i="2" s="1"/>
  <c r="I33" i="2" s="1"/>
  <c r="F32" i="2"/>
  <c r="G32" i="2" s="1"/>
  <c r="H32" i="2" s="1"/>
  <c r="I32" i="2" s="1"/>
  <c r="F31" i="2"/>
  <c r="G31" i="2" s="1"/>
  <c r="H31" i="2" s="1"/>
  <c r="I31" i="2" s="1"/>
  <c r="F30" i="2"/>
  <c r="G30" i="2" s="1"/>
  <c r="H30" i="2" s="1"/>
  <c r="I30" i="2" s="1"/>
  <c r="F29" i="2"/>
  <c r="G29" i="2" s="1"/>
  <c r="H29" i="2" s="1"/>
  <c r="I29" i="2" s="1"/>
  <c r="F28" i="2"/>
  <c r="G28" i="2" s="1"/>
  <c r="H28" i="2" s="1"/>
  <c r="I28" i="2" s="1"/>
  <c r="F27" i="2"/>
  <c r="G27" i="2" s="1"/>
  <c r="H27" i="2" s="1"/>
  <c r="I27" i="2" s="1"/>
  <c r="F26" i="2"/>
  <c r="G26" i="2" s="1"/>
  <c r="H26" i="2" s="1"/>
  <c r="I26" i="2" s="1"/>
  <c r="F25" i="2"/>
  <c r="G25" i="2" s="1"/>
  <c r="H25" i="2" s="1"/>
  <c r="I25" i="2" s="1"/>
  <c r="F24" i="2"/>
  <c r="G24" i="2" s="1"/>
  <c r="H24" i="2" s="1"/>
  <c r="I24" i="2" s="1"/>
  <c r="G23" i="2"/>
  <c r="H23" i="2" s="1"/>
  <c r="I23" i="2" s="1"/>
  <c r="F23" i="2"/>
  <c r="G22" i="2"/>
  <c r="H22" i="2" s="1"/>
  <c r="I22" i="2" s="1"/>
  <c r="F22" i="2"/>
  <c r="F21" i="2"/>
  <c r="G21" i="2" s="1"/>
  <c r="H21" i="2" s="1"/>
  <c r="I21" i="2" s="1"/>
  <c r="G20" i="2"/>
  <c r="H20" i="2" s="1"/>
  <c r="I20" i="2" s="1"/>
  <c r="F20" i="2"/>
  <c r="F19" i="2"/>
  <c r="G19" i="2" s="1"/>
  <c r="H19" i="2" s="1"/>
  <c r="I19" i="2" s="1"/>
  <c r="F18" i="2"/>
  <c r="G18" i="2" s="1"/>
  <c r="H18" i="2" s="1"/>
  <c r="I18" i="2" s="1"/>
  <c r="F17" i="2"/>
  <c r="G17" i="2" s="1"/>
  <c r="H17" i="2" s="1"/>
  <c r="I17" i="2" s="1"/>
  <c r="G16" i="2"/>
  <c r="H16" i="2" s="1"/>
  <c r="I16" i="2" s="1"/>
  <c r="F16" i="2"/>
  <c r="F15" i="2"/>
  <c r="G15" i="2" s="1"/>
  <c r="H15" i="2" s="1"/>
  <c r="I15" i="2" s="1"/>
  <c r="G14" i="2"/>
  <c r="H14" i="2" s="1"/>
  <c r="I14" i="2" s="1"/>
  <c r="F14" i="2"/>
  <c r="F13" i="2"/>
  <c r="G13" i="2" s="1"/>
  <c r="H13" i="2" s="1"/>
  <c r="I13" i="2" s="1"/>
  <c r="F12" i="2"/>
  <c r="G12" i="2" s="1"/>
  <c r="H12" i="2" s="1"/>
  <c r="I12" i="2" s="1"/>
  <c r="F11" i="2"/>
  <c r="G11" i="2" s="1"/>
  <c r="H11" i="2" s="1"/>
  <c r="I11" i="2" s="1"/>
  <c r="F10" i="2"/>
  <c r="G10" i="2" s="1"/>
  <c r="H10" i="2" s="1"/>
  <c r="I10" i="2" s="1"/>
  <c r="F9" i="2"/>
  <c r="G9" i="2" s="1"/>
  <c r="H9" i="2" s="1"/>
  <c r="I9" i="2" s="1"/>
  <c r="F8" i="2"/>
  <c r="G8" i="2" s="1"/>
  <c r="H8" i="2" s="1"/>
  <c r="I8" i="2" s="1"/>
  <c r="F7" i="2"/>
  <c r="G7" i="2" s="1"/>
  <c r="H7" i="2" s="1"/>
  <c r="I7" i="2" s="1"/>
  <c r="F6" i="2"/>
  <c r="G6" i="2" s="1"/>
  <c r="H6" i="2" s="1"/>
  <c r="I6" i="2" s="1"/>
  <c r="F5" i="2"/>
  <c r="G5" i="2" s="1"/>
  <c r="H5" i="2" s="1"/>
  <c r="I5" i="2" s="1"/>
  <c r="G4" i="2"/>
  <c r="H4" i="2" s="1"/>
  <c r="I4" i="2" s="1"/>
  <c r="F4" i="2"/>
  <c r="G3" i="2"/>
  <c r="H3" i="2" s="1"/>
  <c r="I3" i="2" s="1"/>
  <c r="F3" i="2"/>
  <c r="G2" i="2"/>
  <c r="H2" i="2" s="1"/>
  <c r="I2" i="2" s="1"/>
  <c r="F2" i="2"/>
  <c r="A7" i="1" l="1"/>
  <c r="E2" i="4"/>
  <c r="F2" i="4" s="1"/>
  <c r="A4" i="1"/>
  <c r="C14" i="3"/>
  <c r="D2" i="3"/>
  <c r="E2" i="3" s="1"/>
  <c r="F2" i="3" s="1"/>
  <c r="G2" i="4" l="1"/>
  <c r="B7" i="1"/>
  <c r="D14" i="3"/>
  <c r="B4" i="1"/>
  <c r="E14" i="3" l="1"/>
  <c r="C4" i="1"/>
  <c r="D4" i="1" l="1"/>
  <c r="F14" i="3"/>
  <c r="C7" i="1" s="1"/>
</calcChain>
</file>

<file path=xl/sharedStrings.xml><?xml version="1.0" encoding="utf-8"?>
<sst xmlns="http://schemas.openxmlformats.org/spreadsheetml/2006/main" count="343" uniqueCount="35">
  <si>
    <t>Budget vs Actual Dashboard</t>
  </si>
  <si>
    <t>Total Budget</t>
  </si>
  <si>
    <t>Total Actual</t>
  </si>
  <si>
    <t>Total Variance</t>
  </si>
  <si>
    <t>Variance %</t>
  </si>
  <si>
    <t>Highest Spending Dept</t>
  </si>
  <si>
    <t>Largest Over Budget Category</t>
  </si>
  <si>
    <t>Overall Status</t>
  </si>
  <si>
    <t>Month</t>
  </si>
  <si>
    <t>Department</t>
  </si>
  <si>
    <t>Category</t>
  </si>
  <si>
    <t>Budgeted Amount</t>
  </si>
  <si>
    <t>Actual Amount</t>
  </si>
  <si>
    <t>Variance</t>
  </si>
  <si>
    <t>Status</t>
  </si>
  <si>
    <t>Notes</t>
  </si>
  <si>
    <t>Technology</t>
  </si>
  <si>
    <t>Software</t>
  </si>
  <si>
    <t>Cloud Services</t>
  </si>
  <si>
    <t>Operations</t>
  </si>
  <si>
    <t>Supplies</t>
  </si>
  <si>
    <t>Vendor Services</t>
  </si>
  <si>
    <t>Marketing</t>
  </si>
  <si>
    <t>Campaigns</t>
  </si>
  <si>
    <t>Events</t>
  </si>
  <si>
    <t>Training</t>
  </si>
  <si>
    <t>Workshops</t>
  </si>
  <si>
    <t>Course Materials</t>
  </si>
  <si>
    <t>Customer Support</t>
  </si>
  <si>
    <t>Support Tools</t>
  </si>
  <si>
    <t>Quality Review</t>
  </si>
  <si>
    <t>Facilities</t>
  </si>
  <si>
    <t>Room Setup</t>
  </si>
  <si>
    <t>Maintenance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</si>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</sst>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\$#,##0"/>
    <numFmt numFmtId="166" formatCode="0.0%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3" borderId="0" xfId="0" applyFont="1" applyFill="1"/>
    <xf numFmtId="165" fontId="2" fillId="3" borderId="0" xfId="0" applyNumberFormat="1" applyFont="1" applyFill="1"/>
    <xf numFmtId="166" fontId="2" fillId="3" borderId="0" xfId="0" applyNumberFormat="1" applyFont="1" applyFill="1"/>
    <xf numFmtId="165" fontId="3" fillId="4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3">
    <dxf>
      <font>
        <color rgb="FF664D03"/>
      </font>
      <fill>
        <patternFill patternType="solid">
          <bgColor rgb="FFFFF3CD"/>
        </patternFill>
      </fill>
    </dxf>
    <dxf>
      <font>
        <color rgb="FF0F5132"/>
      </font>
      <fill>
        <patternFill patternType="solid">
          <bgColor rgb="FFD1E7DD"/>
        </patternFill>
      </fill>
    </dxf>
    <dxf>
      <font>
        <color rgb="FF842029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Budget vs Actual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Total Budget</c:v>
          </c:tx>
          <c:marker>
            <c:symbol val="none"/>
          </c:marker>
          <c:cat>
            <c:numRef>
              <c:f>'Monthly Summary'!$A$2:$A$13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Summary'!$B$2:$B$13</c:f>
              <c:numCache>
                <c:formatCode>\$#,##0</c:formatCode>
                <c:ptCount val="12"/>
                <c:pt idx="0">
                  <c:v>66463</c:v>
                </c:pt>
                <c:pt idx="1">
                  <c:v>67320</c:v>
                </c:pt>
                <c:pt idx="2">
                  <c:v>66031</c:v>
                </c:pt>
                <c:pt idx="3">
                  <c:v>67153</c:v>
                </c:pt>
                <c:pt idx="4">
                  <c:v>67992</c:v>
                </c:pt>
                <c:pt idx="5">
                  <c:v>66461</c:v>
                </c:pt>
                <c:pt idx="6">
                  <c:v>65415</c:v>
                </c:pt>
                <c:pt idx="7">
                  <c:v>66989</c:v>
                </c:pt>
                <c:pt idx="8">
                  <c:v>67491</c:v>
                </c:pt>
                <c:pt idx="9">
                  <c:v>65517</c:v>
                </c:pt>
                <c:pt idx="10">
                  <c:v>65195</c:v>
                </c:pt>
                <c:pt idx="11">
                  <c:v>67927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C7-4645-B1DB-297A6BDE813B}"/>
            </c:ext>
          </c:extLst>
        </c:ser>
        <c:ser>
          <c:idx val="1"/>
          <c:order val="1"/>
          <c:tx>
            <c:v>Total Actual</c:v>
          </c:tx>
          <c:marker>
            <c:symbol val="none"/>
          </c:marker>
          <c:cat>
            <c:numRef>
              <c:f>'Monthly Summary'!$A$2:$A$13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Summary'!$C$2:$C$13</c:f>
              <c:numCache>
                <c:formatCode>\$#,##0</c:formatCode>
                <c:ptCount val="12"/>
                <c:pt idx="0">
                  <c:v>64117</c:v>
                </c:pt>
                <c:pt idx="1">
                  <c:v>67460</c:v>
                </c:pt>
                <c:pt idx="2">
                  <c:v>69183</c:v>
                </c:pt>
                <c:pt idx="3">
                  <c:v>68567</c:v>
                </c:pt>
                <c:pt idx="4">
                  <c:v>70640</c:v>
                </c:pt>
                <c:pt idx="5">
                  <c:v>70177</c:v>
                </c:pt>
                <c:pt idx="6">
                  <c:v>67709</c:v>
                </c:pt>
                <c:pt idx="7">
                  <c:v>68405</c:v>
                </c:pt>
                <c:pt idx="8">
                  <c:v>71202</c:v>
                </c:pt>
                <c:pt idx="9">
                  <c:v>67403</c:v>
                </c:pt>
                <c:pt idx="10">
                  <c:v>67907</c:v>
                </c:pt>
                <c:pt idx="11">
                  <c:v>69656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C7-4645-B1DB-297A6BDE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\ 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Budget vs Actual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Budget</c:v>
          </c:tx>
          <c:invertIfNegative val="1"/>
          <c:cat>
            <c:strRef>
              <c:f>'Category Summary'!$B$2:$B$13</c:f>
              <c:strCache>
                <c:ptCount val="12"/>
                <c:pt idx="0">
                  <c:v>Software</c:v>
                </c:pt>
                <c:pt idx="1">
                  <c:v>Cloud Services</c:v>
                </c:pt>
                <c:pt idx="2">
                  <c:v>Supplies</c:v>
                </c:pt>
                <c:pt idx="3">
                  <c:v>Vendor Services</c:v>
                </c:pt>
                <c:pt idx="4">
                  <c:v>Campaigns</c:v>
                </c:pt>
                <c:pt idx="5">
                  <c:v>Events</c:v>
                </c:pt>
                <c:pt idx="6">
                  <c:v>Workshops</c:v>
                </c:pt>
                <c:pt idx="7">
                  <c:v>Course Materials</c:v>
                </c:pt>
                <c:pt idx="8">
                  <c:v>Support Tools</c:v>
                </c:pt>
                <c:pt idx="9">
                  <c:v>Quality Review</c:v>
                </c:pt>
                <c:pt idx="10">
                  <c:v>Room Setup</c:v>
                </c:pt>
                <c:pt idx="11">
                  <c:v>Maintenance</c:v>
                </c:pt>
              </c:strCache>
            </c:strRef>
          </c:cat>
          <c:val>
            <c:numRef>
              <c:f>'Category Summary'!$C$2:$C$13</c:f>
              <c:numCache>
                <c:formatCode>\$#,##0</c:formatCode>
                <c:ptCount val="12"/>
                <c:pt idx="0">
                  <c:v>127435</c:v>
                </c:pt>
                <c:pt idx="1">
                  <c:v>114063</c:v>
                </c:pt>
                <c:pt idx="2">
                  <c:v>58334</c:v>
                </c:pt>
                <c:pt idx="3">
                  <c:v>84239</c:v>
                </c:pt>
                <c:pt idx="4">
                  <c:v>78847</c:v>
                </c:pt>
                <c:pt idx="5">
                  <c:v>57529</c:v>
                </c:pt>
                <c:pt idx="6">
                  <c:v>54946</c:v>
                </c:pt>
                <c:pt idx="7">
                  <c:v>35864</c:v>
                </c:pt>
                <c:pt idx="8">
                  <c:v>58668</c:v>
                </c:pt>
                <c:pt idx="9">
                  <c:v>50613</c:v>
                </c:pt>
                <c:pt idx="10">
                  <c:v>36805</c:v>
                </c:pt>
                <c:pt idx="11">
                  <c:v>42611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B-43AA-AF87-170773F0F5C1}"/>
            </c:ext>
          </c:extLst>
        </c:ser>
        <c:ser>
          <c:idx val="1"/>
          <c:order val="1"/>
          <c:tx>
            <c:v>Total Actual</c:v>
          </c:tx>
          <c:invertIfNegative val="1"/>
          <c:cat>
            <c:strRef>
              <c:f>'Category Summary'!$B$2:$B$13</c:f>
              <c:strCache>
                <c:ptCount val="12"/>
                <c:pt idx="0">
                  <c:v>Software</c:v>
                </c:pt>
                <c:pt idx="1">
                  <c:v>Cloud Services</c:v>
                </c:pt>
                <c:pt idx="2">
                  <c:v>Supplies</c:v>
                </c:pt>
                <c:pt idx="3">
                  <c:v>Vendor Services</c:v>
                </c:pt>
                <c:pt idx="4">
                  <c:v>Campaigns</c:v>
                </c:pt>
                <c:pt idx="5">
                  <c:v>Events</c:v>
                </c:pt>
                <c:pt idx="6">
                  <c:v>Workshops</c:v>
                </c:pt>
                <c:pt idx="7">
                  <c:v>Course Materials</c:v>
                </c:pt>
                <c:pt idx="8">
                  <c:v>Support Tools</c:v>
                </c:pt>
                <c:pt idx="9">
                  <c:v>Quality Review</c:v>
                </c:pt>
                <c:pt idx="10">
                  <c:v>Room Setup</c:v>
                </c:pt>
                <c:pt idx="11">
                  <c:v>Maintenance</c:v>
                </c:pt>
              </c:strCache>
            </c:strRef>
          </c:cat>
          <c:val>
            <c:numRef>
              <c:f>'Category Summary'!$D$2:$D$13</c:f>
              <c:numCache>
                <c:formatCode>\$#,##0</c:formatCode>
                <c:ptCount val="12"/>
                <c:pt idx="0">
                  <c:v>131181</c:v>
                </c:pt>
                <c:pt idx="1">
                  <c:v>120218</c:v>
                </c:pt>
                <c:pt idx="2">
                  <c:v>59640</c:v>
                </c:pt>
                <c:pt idx="3">
                  <c:v>86251</c:v>
                </c:pt>
                <c:pt idx="4">
                  <c:v>83400</c:v>
                </c:pt>
                <c:pt idx="5">
                  <c:v>59076</c:v>
                </c:pt>
                <c:pt idx="6">
                  <c:v>56240</c:v>
                </c:pt>
                <c:pt idx="7">
                  <c:v>35624</c:v>
                </c:pt>
                <c:pt idx="8">
                  <c:v>59291</c:v>
                </c:pt>
                <c:pt idx="9">
                  <c:v>50908</c:v>
                </c:pt>
                <c:pt idx="10">
                  <c:v>37418</c:v>
                </c:pt>
                <c:pt idx="11">
                  <c:v>43179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B-43AA-AF87-170773F0F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ActualTable" displayName="BudgetActualTable" ref="A1:I145" totalsRowShown="0">
  <tableColumns count="9">
    <tableColumn id="1" xr3:uid="{00000000-0010-0000-0000-000001000000}" name="Month"/>
    <tableColumn id="2" xr3:uid="{00000000-0010-0000-0000-000002000000}" name="Department"/>
    <tableColumn id="3" xr3:uid="{00000000-0010-0000-0000-000003000000}" name="Category"/>
    <tableColumn id="4" xr3:uid="{00000000-0010-0000-0000-000004000000}" name="Budgeted Amount"/>
    <tableColumn id="5" xr3:uid="{00000000-0010-0000-0000-000005000000}" name="Actual Amount"/>
    <tableColumn id="6" xr3:uid="{00000000-0010-0000-0000-000006000000}" name="Variance"/>
    <tableColumn id="7" xr3:uid="{00000000-0010-0000-0000-000007000000}" name="Variance %"/>
    <tableColumn id="8" xr3:uid="{00000000-0010-0000-0000-000008000000}" name="Status"/>
    <tableColumn id="9" xr3:uid="{00000000-0010-0000-0000-00000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Table" displayName="MonthlySummaryTable" ref="A1:F13" totalsRowShown="0">
  <tableColumns count="6">
    <tableColumn id="1" xr3:uid="{00000000-0010-0000-0100-000001000000}" name="Month"/>
    <tableColumn id="2" xr3:uid="{00000000-0010-0000-0100-000002000000}" name="Total Budget"/>
    <tableColumn id="3" xr3:uid="{00000000-0010-0000-0100-000003000000}" name="Total Actual"/>
    <tableColumn id="4" xr3:uid="{00000000-0010-0000-0100-000004000000}" name="Variance"/>
    <tableColumn id="5" xr3:uid="{00000000-0010-0000-0100-000005000000}" name="Variance %"/>
    <tableColumn id="6" xr3:uid="{00000000-0010-0000-0100-000006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SummaryTable" displayName="CategorySummaryTable" ref="A1:G13" totalsRowShown="0">
  <tableColumns count="7">
    <tableColumn id="1" xr3:uid="{00000000-0010-0000-0200-000001000000}" name="Department"/>
    <tableColumn id="2" xr3:uid="{00000000-0010-0000-0200-000002000000}" name="Category"/>
    <tableColumn id="3" xr3:uid="{00000000-0010-0000-0200-000003000000}" name="Total Budget"/>
    <tableColumn id="4" xr3:uid="{00000000-0010-0000-0200-000004000000}" name="Total Actual"/>
    <tableColumn id="5" xr3:uid="{00000000-0010-0000-0200-000005000000}" name="Variance"/>
    <tableColumn id="6" xr3:uid="{00000000-0010-0000-0200-000006000000}" name="Variance %"/>
    <tableColumn id="7" xr3:uid="{00000000-0010-0000-02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sqref="A1:H1"/>
    </sheetView>
  </sheetViews>
  <sheetFormatPr defaultRowHeight="14"/>
  <cols>
    <col min="1" max="8" width="18" customWidth="1"/>
  </cols>
  <sheetData>
    <row r="1" spans="1:26" ht="21.4" customHeight="1">
      <c r="A1" s="18" t="s">
        <v>0</v>
      </c>
      <c r="B1" s="19"/>
      <c r="C1" s="19"/>
      <c r="D1" s="19"/>
      <c r="E1" s="19"/>
      <c r="F1" s="19"/>
      <c r="G1" s="19"/>
      <c r="H1" s="19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3" spans="1:26">
      <c r="A3" s="1" t="s">
        <v>1</v>
      </c>
      <c r="B3" s="1" t="s">
        <v>2</v>
      </c>
      <c r="C3" s="1" t="s">
        <v>3</v>
      </c>
      <c r="D3" s="1" t="s">
        <v>4</v>
      </c>
    </row>
    <row r="4" spans="1:26" ht="18">
      <c r="A4" s="12">
        <f>'Monthly Summary'!B14</f>
        <v>799954</v>
      </c>
      <c r="B4" s="12">
        <f>'Monthly Summary'!C14</f>
        <v>822426</v>
      </c>
      <c r="C4" s="12">
        <f>'Monthly Summary'!D14</f>
        <v>22472</v>
      </c>
      <c r="D4" s="13">
        <f>'Monthly Summary'!E14</f>
        <v>2.8091615267877904E-2</v>
      </c>
    </row>
    <row r="6" spans="1:26">
      <c r="A6" s="1" t="s">
        <v>5</v>
      </c>
      <c r="B6" s="1" t="s">
        <v>6</v>
      </c>
      <c r="C6" s="1" t="s">
        <v>7</v>
      </c>
    </row>
    <row r="7" spans="1:26">
      <c r="A7" s="14" t="str">
        <f>INDEX('Category Summary'!A2:A13,MATCH(MAX('Category Summary'!D2:D13),'Category Summary'!D2:D13,0))</f>
        <v>Technology</v>
      </c>
      <c r="B7" s="14" t="str">
        <f>INDEX('Category Summary'!B2:B13,MATCH(MAX('Category Summary'!F2:F13),'Category Summary'!F2:F13,0))</f>
        <v>Campaigns</v>
      </c>
      <c r="C7" s="14" t="str">
        <f>'Monthly Summary'!F14</f>
        <v>On Track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5"/>
  <sheetViews>
    <sheetView workbookViewId="0"/>
  </sheetViews>
  <sheetFormatPr defaultRowHeight="14"/>
  <cols>
    <col min="1" max="1" width="13" customWidth="1"/>
    <col min="2" max="2" width="18" customWidth="1"/>
    <col min="3" max="3" width="22" customWidth="1"/>
    <col min="4" max="4" width="17" customWidth="1"/>
    <col min="5" max="5" width="15" customWidth="1"/>
    <col min="6" max="6" width="13" customWidth="1"/>
    <col min="7" max="7" width="12" customWidth="1"/>
    <col min="8" max="8" width="14" customWidth="1"/>
    <col min="9" max="9" width="25" customWidth="1"/>
  </cols>
  <sheetData>
    <row r="1" spans="1:26" ht="14.5">
      <c r="A1" s="17" t="s">
        <v>8</v>
      </c>
      <c r="B1" s="17" t="s">
        <v>9</v>
      </c>
      <c r="C1" s="17" t="s">
        <v>10</v>
      </c>
      <c r="D1" s="17" t="s">
        <v>11</v>
      </c>
      <c r="E1" s="17" t="s">
        <v>12</v>
      </c>
      <c r="F1" s="17" t="s">
        <v>13</v>
      </c>
      <c r="G1" s="17" t="s">
        <v>4</v>
      </c>
      <c r="H1" s="17" t="s">
        <v>14</v>
      </c>
      <c r="I1" s="17" t="s">
        <v>15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3">
        <v>46023</v>
      </c>
      <c r="B2" s="2" t="s">
        <v>16</v>
      </c>
      <c r="C2" s="2" t="s">
        <v>17</v>
      </c>
      <c r="D2" s="4">
        <v>10639</v>
      </c>
      <c r="E2" s="4">
        <v>9841</v>
      </c>
      <c r="F2" s="4">
        <f t="shared" ref="F2:F33" si="0">E2-D2</f>
        <v>-798</v>
      </c>
      <c r="G2" s="5">
        <f t="shared" ref="G2:G33" si="1">IF(D2=0,0,F2/D2)</f>
        <v>-7.500704953473071E-2</v>
      </c>
      <c r="H2" s="2" t="str">
        <f t="shared" ref="H2:H33" si="2">IF(G2&gt;0.05,"Over Budget",IF(G2&lt;-0.05,"Under Budget","On Track"))</f>
        <v>Under Budget</v>
      </c>
      <c r="I2" s="2" t="str">
        <f t="shared" ref="I2:I33" si="3">IF(H2="Over Budget","Review spending driver",IF(H2="Under Budget","Monitor savings opportunity","Within expected range"))</f>
        <v>Monitor savings opportunity</v>
      </c>
    </row>
    <row r="3" spans="1:26">
      <c r="A3" s="3">
        <v>46023</v>
      </c>
      <c r="B3" s="2" t="s">
        <v>16</v>
      </c>
      <c r="C3" s="2" t="s">
        <v>18</v>
      </c>
      <c r="D3" s="4">
        <v>9025</v>
      </c>
      <c r="E3" s="4">
        <v>8706</v>
      </c>
      <c r="F3" s="4">
        <f t="shared" si="0"/>
        <v>-319</v>
      </c>
      <c r="G3" s="5">
        <f t="shared" si="1"/>
        <v>-3.5346260387811634E-2</v>
      </c>
      <c r="H3" s="2" t="str">
        <f t="shared" si="2"/>
        <v>On Track</v>
      </c>
      <c r="I3" s="2" t="str">
        <f t="shared" si="3"/>
        <v>Within expected range</v>
      </c>
    </row>
    <row r="4" spans="1:26">
      <c r="A4" s="3">
        <v>46023</v>
      </c>
      <c r="B4" s="2" t="s">
        <v>19</v>
      </c>
      <c r="C4" s="2" t="s">
        <v>20</v>
      </c>
      <c r="D4" s="4">
        <v>5106</v>
      </c>
      <c r="E4" s="4">
        <v>5389</v>
      </c>
      <c r="F4" s="4">
        <f t="shared" si="0"/>
        <v>283</v>
      </c>
      <c r="G4" s="5">
        <f t="shared" si="1"/>
        <v>5.5424990207598904E-2</v>
      </c>
      <c r="H4" s="2" t="str">
        <f t="shared" si="2"/>
        <v>Over Budget</v>
      </c>
      <c r="I4" s="2" t="str">
        <f t="shared" si="3"/>
        <v>Review spending driver</v>
      </c>
    </row>
    <row r="5" spans="1:26">
      <c r="A5" s="3">
        <v>46023</v>
      </c>
      <c r="B5" s="2" t="s">
        <v>19</v>
      </c>
      <c r="C5" s="2" t="s">
        <v>21</v>
      </c>
      <c r="D5" s="4">
        <v>7360</v>
      </c>
      <c r="E5" s="4">
        <v>6899</v>
      </c>
      <c r="F5" s="4">
        <f t="shared" si="0"/>
        <v>-461</v>
      </c>
      <c r="G5" s="5">
        <f t="shared" si="1"/>
        <v>-6.2635869565217397E-2</v>
      </c>
      <c r="H5" s="2" t="str">
        <f t="shared" si="2"/>
        <v>Under Budget</v>
      </c>
      <c r="I5" s="2" t="str">
        <f t="shared" si="3"/>
        <v>Monitor savings opportunity</v>
      </c>
    </row>
    <row r="6" spans="1:26">
      <c r="A6" s="3">
        <v>46023</v>
      </c>
      <c r="B6" s="2" t="s">
        <v>22</v>
      </c>
      <c r="C6" s="2" t="s">
        <v>23</v>
      </c>
      <c r="D6" s="4">
        <v>6497</v>
      </c>
      <c r="E6" s="4">
        <v>6016</v>
      </c>
      <c r="F6" s="4">
        <f t="shared" si="0"/>
        <v>-481</v>
      </c>
      <c r="G6" s="5">
        <f t="shared" si="1"/>
        <v>-7.4034169616746193E-2</v>
      </c>
      <c r="H6" s="2" t="str">
        <f t="shared" si="2"/>
        <v>Under Budget</v>
      </c>
      <c r="I6" s="2" t="str">
        <f t="shared" si="3"/>
        <v>Monitor savings opportunity</v>
      </c>
    </row>
    <row r="7" spans="1:26">
      <c r="A7" s="3">
        <v>46023</v>
      </c>
      <c r="B7" s="2" t="s">
        <v>22</v>
      </c>
      <c r="C7" s="2" t="s">
        <v>24</v>
      </c>
      <c r="D7" s="4">
        <v>4671</v>
      </c>
      <c r="E7" s="4">
        <v>4769</v>
      </c>
      <c r="F7" s="4">
        <f t="shared" si="0"/>
        <v>98</v>
      </c>
      <c r="G7" s="5">
        <f t="shared" si="1"/>
        <v>2.098051809034468E-2</v>
      </c>
      <c r="H7" s="2" t="str">
        <f t="shared" si="2"/>
        <v>On Track</v>
      </c>
      <c r="I7" s="2" t="str">
        <f t="shared" si="3"/>
        <v>Within expected range</v>
      </c>
    </row>
    <row r="8" spans="1:26">
      <c r="A8" s="3">
        <v>46023</v>
      </c>
      <c r="B8" s="2" t="s">
        <v>25</v>
      </c>
      <c r="C8" s="2" t="s">
        <v>26</v>
      </c>
      <c r="D8" s="4">
        <v>4183</v>
      </c>
      <c r="E8" s="4">
        <v>3764</v>
      </c>
      <c r="F8" s="4">
        <f t="shared" si="0"/>
        <v>-419</v>
      </c>
      <c r="G8" s="5">
        <f t="shared" si="1"/>
        <v>-0.10016734401147502</v>
      </c>
      <c r="H8" s="2" t="str">
        <f t="shared" si="2"/>
        <v>Under Budget</v>
      </c>
      <c r="I8" s="2" t="str">
        <f t="shared" si="3"/>
        <v>Monitor savings opportunity</v>
      </c>
    </row>
    <row r="9" spans="1:26">
      <c r="A9" s="3">
        <v>46023</v>
      </c>
      <c r="B9" s="2" t="s">
        <v>25</v>
      </c>
      <c r="C9" s="2" t="s">
        <v>27</v>
      </c>
      <c r="D9" s="4">
        <v>3028</v>
      </c>
      <c r="E9" s="4">
        <v>2934</v>
      </c>
      <c r="F9" s="4">
        <f t="shared" si="0"/>
        <v>-94</v>
      </c>
      <c r="G9" s="5">
        <f t="shared" si="1"/>
        <v>-3.1043593130779392E-2</v>
      </c>
      <c r="H9" s="2" t="str">
        <f t="shared" si="2"/>
        <v>On Track</v>
      </c>
      <c r="I9" s="2" t="str">
        <f t="shared" si="3"/>
        <v>Within expected range</v>
      </c>
    </row>
    <row r="10" spans="1:26">
      <c r="A10" s="3">
        <v>46023</v>
      </c>
      <c r="B10" s="2" t="s">
        <v>28</v>
      </c>
      <c r="C10" s="2" t="s">
        <v>29</v>
      </c>
      <c r="D10" s="4">
        <v>4720</v>
      </c>
      <c r="E10" s="4">
        <v>4899</v>
      </c>
      <c r="F10" s="4">
        <f t="shared" si="0"/>
        <v>179</v>
      </c>
      <c r="G10" s="5">
        <f t="shared" si="1"/>
        <v>3.7923728813559321E-2</v>
      </c>
      <c r="H10" s="2" t="str">
        <f t="shared" si="2"/>
        <v>On Track</v>
      </c>
      <c r="I10" s="2" t="str">
        <f t="shared" si="3"/>
        <v>Within expected range</v>
      </c>
    </row>
    <row r="11" spans="1:26">
      <c r="A11" s="3">
        <v>46023</v>
      </c>
      <c r="B11" s="2" t="s">
        <v>28</v>
      </c>
      <c r="C11" s="2" t="s">
        <v>30</v>
      </c>
      <c r="D11" s="4">
        <v>4513</v>
      </c>
      <c r="E11" s="4">
        <v>4158</v>
      </c>
      <c r="F11" s="4">
        <f t="shared" si="0"/>
        <v>-355</v>
      </c>
      <c r="G11" s="5">
        <f t="shared" si="1"/>
        <v>-7.8661644139153553E-2</v>
      </c>
      <c r="H11" s="2" t="str">
        <f t="shared" si="2"/>
        <v>Under Budget</v>
      </c>
      <c r="I11" s="2" t="str">
        <f t="shared" si="3"/>
        <v>Monitor savings opportunity</v>
      </c>
    </row>
    <row r="12" spans="1:26">
      <c r="A12" s="3">
        <v>46023</v>
      </c>
      <c r="B12" s="2" t="s">
        <v>31</v>
      </c>
      <c r="C12" s="2" t="s">
        <v>32</v>
      </c>
      <c r="D12" s="4">
        <v>3226</v>
      </c>
      <c r="E12" s="4">
        <v>3418</v>
      </c>
      <c r="F12" s="4">
        <f t="shared" si="0"/>
        <v>192</v>
      </c>
      <c r="G12" s="5">
        <f t="shared" si="1"/>
        <v>5.9516429014259145E-2</v>
      </c>
      <c r="H12" s="2" t="str">
        <f t="shared" si="2"/>
        <v>Over Budget</v>
      </c>
      <c r="I12" s="2" t="str">
        <f t="shared" si="3"/>
        <v>Review spending driver</v>
      </c>
    </row>
    <row r="13" spans="1:26">
      <c r="A13" s="3">
        <v>46023</v>
      </c>
      <c r="B13" s="2" t="s">
        <v>31</v>
      </c>
      <c r="C13" s="2" t="s">
        <v>33</v>
      </c>
      <c r="D13" s="4">
        <v>3495</v>
      </c>
      <c r="E13" s="4">
        <v>3324</v>
      </c>
      <c r="F13" s="4">
        <f t="shared" si="0"/>
        <v>-171</v>
      </c>
      <c r="G13" s="5">
        <f t="shared" si="1"/>
        <v>-4.8927038626609444E-2</v>
      </c>
      <c r="H13" s="2" t="str">
        <f t="shared" si="2"/>
        <v>On Track</v>
      </c>
      <c r="I13" s="2" t="str">
        <f t="shared" si="3"/>
        <v>Within expected range</v>
      </c>
    </row>
    <row r="14" spans="1:26">
      <c r="A14" s="3">
        <v>46054</v>
      </c>
      <c r="B14" s="2" t="s">
        <v>16</v>
      </c>
      <c r="C14" s="2" t="s">
        <v>17</v>
      </c>
      <c r="D14" s="4">
        <v>11296</v>
      </c>
      <c r="E14" s="4">
        <v>11153</v>
      </c>
      <c r="F14" s="4">
        <f t="shared" si="0"/>
        <v>-143</v>
      </c>
      <c r="G14" s="5">
        <f t="shared" si="1"/>
        <v>-1.2659348441926345E-2</v>
      </c>
      <c r="H14" s="2" t="str">
        <f t="shared" si="2"/>
        <v>On Track</v>
      </c>
      <c r="I14" s="2" t="str">
        <f t="shared" si="3"/>
        <v>Within expected range</v>
      </c>
    </row>
    <row r="15" spans="1:26">
      <c r="A15" s="3">
        <v>46054</v>
      </c>
      <c r="B15" s="2" t="s">
        <v>16</v>
      </c>
      <c r="C15" s="2" t="s">
        <v>18</v>
      </c>
      <c r="D15" s="4">
        <v>8680</v>
      </c>
      <c r="E15" s="4">
        <v>8153</v>
      </c>
      <c r="F15" s="4">
        <f t="shared" si="0"/>
        <v>-527</v>
      </c>
      <c r="G15" s="5">
        <f t="shared" si="1"/>
        <v>-6.0714285714285714E-2</v>
      </c>
      <c r="H15" s="2" t="str">
        <f t="shared" si="2"/>
        <v>Under Budget</v>
      </c>
      <c r="I15" s="2" t="str">
        <f t="shared" si="3"/>
        <v>Monitor savings opportunity</v>
      </c>
    </row>
    <row r="16" spans="1:26">
      <c r="A16" s="3">
        <v>46054</v>
      </c>
      <c r="B16" s="2" t="s">
        <v>19</v>
      </c>
      <c r="C16" s="2" t="s">
        <v>20</v>
      </c>
      <c r="D16" s="4">
        <v>5214</v>
      </c>
      <c r="E16" s="4">
        <v>5426</v>
      </c>
      <c r="F16" s="4">
        <f t="shared" si="0"/>
        <v>212</v>
      </c>
      <c r="G16" s="5">
        <f t="shared" si="1"/>
        <v>4.0659762178749517E-2</v>
      </c>
      <c r="H16" s="2" t="str">
        <f t="shared" si="2"/>
        <v>On Track</v>
      </c>
      <c r="I16" s="2" t="str">
        <f t="shared" si="3"/>
        <v>Within expected range</v>
      </c>
    </row>
    <row r="17" spans="1:9">
      <c r="A17" s="3">
        <v>46054</v>
      </c>
      <c r="B17" s="2" t="s">
        <v>19</v>
      </c>
      <c r="C17" s="2" t="s">
        <v>21</v>
      </c>
      <c r="D17" s="4">
        <v>7244</v>
      </c>
      <c r="E17" s="4">
        <v>7722</v>
      </c>
      <c r="F17" s="4">
        <f t="shared" si="0"/>
        <v>478</v>
      </c>
      <c r="G17" s="5">
        <f t="shared" si="1"/>
        <v>6.5985643290999443E-2</v>
      </c>
      <c r="H17" s="2" t="str">
        <f t="shared" si="2"/>
        <v>Over Budget</v>
      </c>
      <c r="I17" s="2" t="str">
        <f t="shared" si="3"/>
        <v>Review spending driver</v>
      </c>
    </row>
    <row r="18" spans="1:9">
      <c r="A18" s="3">
        <v>46054</v>
      </c>
      <c r="B18" s="2" t="s">
        <v>22</v>
      </c>
      <c r="C18" s="2" t="s">
        <v>23</v>
      </c>
      <c r="D18" s="4">
        <v>6648</v>
      </c>
      <c r="E18" s="4">
        <v>7410</v>
      </c>
      <c r="F18" s="4">
        <f t="shared" si="0"/>
        <v>762</v>
      </c>
      <c r="G18" s="5">
        <f t="shared" si="1"/>
        <v>0.11462093862815885</v>
      </c>
      <c r="H18" s="2" t="str">
        <f t="shared" si="2"/>
        <v>Over Budget</v>
      </c>
      <c r="I18" s="2" t="str">
        <f t="shared" si="3"/>
        <v>Review spending driver</v>
      </c>
    </row>
    <row r="19" spans="1:9">
      <c r="A19" s="3">
        <v>46054</v>
      </c>
      <c r="B19" s="2" t="s">
        <v>22</v>
      </c>
      <c r="C19" s="2" t="s">
        <v>24</v>
      </c>
      <c r="D19" s="4">
        <v>4830</v>
      </c>
      <c r="E19" s="4">
        <v>4977</v>
      </c>
      <c r="F19" s="4">
        <f t="shared" si="0"/>
        <v>147</v>
      </c>
      <c r="G19" s="5">
        <f t="shared" si="1"/>
        <v>3.0434782608695653E-2</v>
      </c>
      <c r="H19" s="2" t="str">
        <f t="shared" si="2"/>
        <v>On Track</v>
      </c>
      <c r="I19" s="2" t="str">
        <f t="shared" si="3"/>
        <v>Within expected range</v>
      </c>
    </row>
    <row r="20" spans="1:9">
      <c r="A20" s="3">
        <v>46054</v>
      </c>
      <c r="B20" s="2" t="s">
        <v>25</v>
      </c>
      <c r="C20" s="2" t="s">
        <v>26</v>
      </c>
      <c r="D20" s="4">
        <v>4924</v>
      </c>
      <c r="E20" s="4">
        <v>4844</v>
      </c>
      <c r="F20" s="4">
        <f t="shared" si="0"/>
        <v>-80</v>
      </c>
      <c r="G20" s="5">
        <f t="shared" si="1"/>
        <v>-1.6246953696181964E-2</v>
      </c>
      <c r="H20" s="2" t="str">
        <f t="shared" si="2"/>
        <v>On Track</v>
      </c>
      <c r="I20" s="2" t="str">
        <f t="shared" si="3"/>
        <v>Within expected range</v>
      </c>
    </row>
    <row r="21" spans="1:9">
      <c r="A21" s="3">
        <v>46054</v>
      </c>
      <c r="B21" s="2" t="s">
        <v>25</v>
      </c>
      <c r="C21" s="2" t="s">
        <v>27</v>
      </c>
      <c r="D21" s="4">
        <v>3153</v>
      </c>
      <c r="E21" s="4">
        <v>3076</v>
      </c>
      <c r="F21" s="4">
        <f t="shared" si="0"/>
        <v>-77</v>
      </c>
      <c r="G21" s="5">
        <f t="shared" si="1"/>
        <v>-2.4421186171899777E-2</v>
      </c>
      <c r="H21" s="2" t="str">
        <f t="shared" si="2"/>
        <v>On Track</v>
      </c>
      <c r="I21" s="2" t="str">
        <f t="shared" si="3"/>
        <v>Within expected range</v>
      </c>
    </row>
    <row r="22" spans="1:9">
      <c r="A22" s="3">
        <v>46054</v>
      </c>
      <c r="B22" s="2" t="s">
        <v>28</v>
      </c>
      <c r="C22" s="2" t="s">
        <v>29</v>
      </c>
      <c r="D22" s="4">
        <v>5205</v>
      </c>
      <c r="E22" s="4">
        <v>4836</v>
      </c>
      <c r="F22" s="4">
        <f t="shared" si="0"/>
        <v>-369</v>
      </c>
      <c r="G22" s="5">
        <f t="shared" si="1"/>
        <v>-7.0893371757925067E-2</v>
      </c>
      <c r="H22" s="2" t="str">
        <f t="shared" si="2"/>
        <v>Under Budget</v>
      </c>
      <c r="I22" s="2" t="str">
        <f t="shared" si="3"/>
        <v>Monitor savings opportunity</v>
      </c>
    </row>
    <row r="23" spans="1:9">
      <c r="A23" s="3">
        <v>46054</v>
      </c>
      <c r="B23" s="2" t="s">
        <v>28</v>
      </c>
      <c r="C23" s="2" t="s">
        <v>30</v>
      </c>
      <c r="D23" s="4">
        <v>4019</v>
      </c>
      <c r="E23" s="4">
        <v>3930</v>
      </c>
      <c r="F23" s="4">
        <f t="shared" si="0"/>
        <v>-89</v>
      </c>
      <c r="G23" s="5">
        <f t="shared" si="1"/>
        <v>-2.2144812142323961E-2</v>
      </c>
      <c r="H23" s="2" t="str">
        <f t="shared" si="2"/>
        <v>On Track</v>
      </c>
      <c r="I23" s="2" t="str">
        <f t="shared" si="3"/>
        <v>Within expected range</v>
      </c>
    </row>
    <row r="24" spans="1:9">
      <c r="A24" s="3">
        <v>46054</v>
      </c>
      <c r="B24" s="2" t="s">
        <v>31</v>
      </c>
      <c r="C24" s="2" t="s">
        <v>32</v>
      </c>
      <c r="D24" s="4">
        <v>2785</v>
      </c>
      <c r="E24" s="4">
        <v>2692</v>
      </c>
      <c r="F24" s="4">
        <f t="shared" si="0"/>
        <v>-93</v>
      </c>
      <c r="G24" s="5">
        <f t="shared" si="1"/>
        <v>-3.3393177737881509E-2</v>
      </c>
      <c r="H24" s="2" t="str">
        <f t="shared" si="2"/>
        <v>On Track</v>
      </c>
      <c r="I24" s="2" t="str">
        <f t="shared" si="3"/>
        <v>Within expected range</v>
      </c>
    </row>
    <row r="25" spans="1:9">
      <c r="A25" s="3">
        <v>46054</v>
      </c>
      <c r="B25" s="2" t="s">
        <v>31</v>
      </c>
      <c r="C25" s="2" t="s">
        <v>33</v>
      </c>
      <c r="D25" s="4">
        <v>3322</v>
      </c>
      <c r="E25" s="4">
        <v>3241</v>
      </c>
      <c r="F25" s="4">
        <f t="shared" si="0"/>
        <v>-81</v>
      </c>
      <c r="G25" s="5">
        <f t="shared" si="1"/>
        <v>-2.4382901866345574E-2</v>
      </c>
      <c r="H25" s="2" t="str">
        <f t="shared" si="2"/>
        <v>On Track</v>
      </c>
      <c r="I25" s="2" t="str">
        <f t="shared" si="3"/>
        <v>Within expected range</v>
      </c>
    </row>
    <row r="26" spans="1:9">
      <c r="A26" s="3">
        <v>46082</v>
      </c>
      <c r="B26" s="2" t="s">
        <v>16</v>
      </c>
      <c r="C26" s="2" t="s">
        <v>17</v>
      </c>
      <c r="D26" s="4">
        <v>10631</v>
      </c>
      <c r="E26" s="4">
        <v>11407</v>
      </c>
      <c r="F26" s="4">
        <f t="shared" si="0"/>
        <v>776</v>
      </c>
      <c r="G26" s="5">
        <f t="shared" si="1"/>
        <v>7.2994073934719211E-2</v>
      </c>
      <c r="H26" s="2" t="str">
        <f t="shared" si="2"/>
        <v>Over Budget</v>
      </c>
      <c r="I26" s="2" t="str">
        <f t="shared" si="3"/>
        <v>Review spending driver</v>
      </c>
    </row>
    <row r="27" spans="1:9">
      <c r="A27" s="3">
        <v>46082</v>
      </c>
      <c r="B27" s="2" t="s">
        <v>16</v>
      </c>
      <c r="C27" s="2" t="s">
        <v>18</v>
      </c>
      <c r="D27" s="4">
        <v>9205</v>
      </c>
      <c r="E27" s="4">
        <v>9591</v>
      </c>
      <c r="F27" s="4">
        <f t="shared" si="0"/>
        <v>386</v>
      </c>
      <c r="G27" s="5">
        <f t="shared" si="1"/>
        <v>4.1933731667571972E-2</v>
      </c>
      <c r="H27" s="2" t="str">
        <f t="shared" si="2"/>
        <v>On Track</v>
      </c>
      <c r="I27" s="2" t="str">
        <f t="shared" si="3"/>
        <v>Within expected range</v>
      </c>
    </row>
    <row r="28" spans="1:9">
      <c r="A28" s="3">
        <v>46082</v>
      </c>
      <c r="B28" s="2" t="s">
        <v>19</v>
      </c>
      <c r="C28" s="2" t="s">
        <v>20</v>
      </c>
      <c r="D28" s="4">
        <v>4648</v>
      </c>
      <c r="E28" s="4">
        <v>5147</v>
      </c>
      <c r="F28" s="4">
        <f t="shared" si="0"/>
        <v>499</v>
      </c>
      <c r="G28" s="5">
        <f t="shared" si="1"/>
        <v>0.1073580034423408</v>
      </c>
      <c r="H28" s="2" t="str">
        <f t="shared" si="2"/>
        <v>Over Budget</v>
      </c>
      <c r="I28" s="2" t="str">
        <f t="shared" si="3"/>
        <v>Review spending driver</v>
      </c>
    </row>
    <row r="29" spans="1:9">
      <c r="A29" s="3">
        <v>46082</v>
      </c>
      <c r="B29" s="2" t="s">
        <v>19</v>
      </c>
      <c r="C29" s="2" t="s">
        <v>21</v>
      </c>
      <c r="D29" s="4">
        <v>7027</v>
      </c>
      <c r="E29" s="4">
        <v>7321</v>
      </c>
      <c r="F29" s="4">
        <f t="shared" si="0"/>
        <v>294</v>
      </c>
      <c r="G29" s="5">
        <f t="shared" si="1"/>
        <v>4.1838622456240218E-2</v>
      </c>
      <c r="H29" s="2" t="str">
        <f t="shared" si="2"/>
        <v>On Track</v>
      </c>
      <c r="I29" s="2" t="str">
        <f t="shared" si="3"/>
        <v>Within expected range</v>
      </c>
    </row>
    <row r="30" spans="1:9">
      <c r="A30" s="3">
        <v>46082</v>
      </c>
      <c r="B30" s="2" t="s">
        <v>22</v>
      </c>
      <c r="C30" s="2" t="s">
        <v>23</v>
      </c>
      <c r="D30" s="4">
        <v>6166</v>
      </c>
      <c r="E30" s="4">
        <v>6572</v>
      </c>
      <c r="F30" s="4">
        <f t="shared" si="0"/>
        <v>406</v>
      </c>
      <c r="G30" s="5">
        <f t="shared" si="1"/>
        <v>6.5844956211482328E-2</v>
      </c>
      <c r="H30" s="2" t="str">
        <f t="shared" si="2"/>
        <v>Over Budget</v>
      </c>
      <c r="I30" s="2" t="str">
        <f t="shared" si="3"/>
        <v>Review spending driver</v>
      </c>
    </row>
    <row r="31" spans="1:9">
      <c r="A31" s="3">
        <v>46082</v>
      </c>
      <c r="B31" s="2" t="s">
        <v>22</v>
      </c>
      <c r="C31" s="2" t="s">
        <v>24</v>
      </c>
      <c r="D31" s="4">
        <v>4617</v>
      </c>
      <c r="E31" s="4">
        <v>4598</v>
      </c>
      <c r="F31" s="4">
        <f t="shared" si="0"/>
        <v>-19</v>
      </c>
      <c r="G31" s="5">
        <f t="shared" si="1"/>
        <v>-4.11522633744856E-3</v>
      </c>
      <c r="H31" s="2" t="str">
        <f t="shared" si="2"/>
        <v>On Track</v>
      </c>
      <c r="I31" s="2" t="str">
        <f t="shared" si="3"/>
        <v>Within expected range</v>
      </c>
    </row>
    <row r="32" spans="1:9">
      <c r="A32" s="3">
        <v>46082</v>
      </c>
      <c r="B32" s="2" t="s">
        <v>25</v>
      </c>
      <c r="C32" s="2" t="s">
        <v>26</v>
      </c>
      <c r="D32" s="4">
        <v>5072</v>
      </c>
      <c r="E32" s="4">
        <v>5315</v>
      </c>
      <c r="F32" s="4">
        <f t="shared" si="0"/>
        <v>243</v>
      </c>
      <c r="G32" s="5">
        <f t="shared" si="1"/>
        <v>4.7910094637223975E-2</v>
      </c>
      <c r="H32" s="2" t="str">
        <f t="shared" si="2"/>
        <v>On Track</v>
      </c>
      <c r="I32" s="2" t="str">
        <f t="shared" si="3"/>
        <v>Within expected range</v>
      </c>
    </row>
    <row r="33" spans="1:9">
      <c r="A33" s="3">
        <v>46082</v>
      </c>
      <c r="B33" s="2" t="s">
        <v>25</v>
      </c>
      <c r="C33" s="2" t="s">
        <v>27</v>
      </c>
      <c r="D33" s="4">
        <v>2973</v>
      </c>
      <c r="E33" s="4">
        <v>3142</v>
      </c>
      <c r="F33" s="4">
        <f t="shared" si="0"/>
        <v>169</v>
      </c>
      <c r="G33" s="5">
        <f t="shared" si="1"/>
        <v>5.6844937773292969E-2</v>
      </c>
      <c r="H33" s="2" t="str">
        <f t="shared" si="2"/>
        <v>Over Budget</v>
      </c>
      <c r="I33" s="2" t="str">
        <f t="shared" si="3"/>
        <v>Review spending driver</v>
      </c>
    </row>
    <row r="34" spans="1:9">
      <c r="A34" s="3">
        <v>46082</v>
      </c>
      <c r="B34" s="2" t="s">
        <v>28</v>
      </c>
      <c r="C34" s="2" t="s">
        <v>29</v>
      </c>
      <c r="D34" s="4">
        <v>5343</v>
      </c>
      <c r="E34" s="4">
        <v>5745</v>
      </c>
      <c r="F34" s="4">
        <f t="shared" ref="F34:F65" si="4">E34-D34</f>
        <v>402</v>
      </c>
      <c r="G34" s="5">
        <f t="shared" ref="G34:G65" si="5">IF(D34=0,0,F34/D34)</f>
        <v>7.5238629983155531E-2</v>
      </c>
      <c r="H34" s="2" t="str">
        <f t="shared" ref="H34:H65" si="6">IF(G34&gt;0.05,"Over Budget",IF(G34&lt;-0.05,"Under Budget","On Track"))</f>
        <v>Over Budget</v>
      </c>
      <c r="I34" s="2" t="str">
        <f t="shared" ref="I34:I65" si="7">IF(H34="Over Budget","Review spending driver",IF(H34="Under Budget","Monitor savings opportunity","Within expected range"))</f>
        <v>Review spending driver</v>
      </c>
    </row>
    <row r="35" spans="1:9">
      <c r="A35" s="3">
        <v>46082</v>
      </c>
      <c r="B35" s="2" t="s">
        <v>28</v>
      </c>
      <c r="C35" s="2" t="s">
        <v>30</v>
      </c>
      <c r="D35" s="4">
        <v>4020</v>
      </c>
      <c r="E35" s="4">
        <v>3724</v>
      </c>
      <c r="F35" s="4">
        <f t="shared" si="4"/>
        <v>-296</v>
      </c>
      <c r="G35" s="5">
        <f t="shared" si="5"/>
        <v>-7.3631840796019907E-2</v>
      </c>
      <c r="H35" s="2" t="str">
        <f t="shared" si="6"/>
        <v>Under Budget</v>
      </c>
      <c r="I35" s="2" t="str">
        <f t="shared" si="7"/>
        <v>Monitor savings opportunity</v>
      </c>
    </row>
    <row r="36" spans="1:9">
      <c r="A36" s="3">
        <v>46082</v>
      </c>
      <c r="B36" s="2" t="s">
        <v>31</v>
      </c>
      <c r="C36" s="2" t="s">
        <v>32</v>
      </c>
      <c r="D36" s="4">
        <v>2928</v>
      </c>
      <c r="E36" s="4">
        <v>2851</v>
      </c>
      <c r="F36" s="4">
        <f t="shared" si="4"/>
        <v>-77</v>
      </c>
      <c r="G36" s="5">
        <f t="shared" si="5"/>
        <v>-2.6297814207650275E-2</v>
      </c>
      <c r="H36" s="2" t="str">
        <f t="shared" si="6"/>
        <v>On Track</v>
      </c>
      <c r="I36" s="2" t="str">
        <f t="shared" si="7"/>
        <v>Within expected range</v>
      </c>
    </row>
    <row r="37" spans="1:9">
      <c r="A37" s="3">
        <v>46082</v>
      </c>
      <c r="B37" s="2" t="s">
        <v>31</v>
      </c>
      <c r="C37" s="2" t="s">
        <v>33</v>
      </c>
      <c r="D37" s="4">
        <v>3401</v>
      </c>
      <c r="E37" s="4">
        <v>3770</v>
      </c>
      <c r="F37" s="4">
        <f t="shared" si="4"/>
        <v>369</v>
      </c>
      <c r="G37" s="5">
        <f t="shared" si="5"/>
        <v>0.10849750073507791</v>
      </c>
      <c r="H37" s="2" t="str">
        <f t="shared" si="6"/>
        <v>Over Budget</v>
      </c>
      <c r="I37" s="2" t="str">
        <f t="shared" si="7"/>
        <v>Review spending driver</v>
      </c>
    </row>
    <row r="38" spans="1:9">
      <c r="A38" s="3">
        <v>46113</v>
      </c>
      <c r="B38" s="2" t="s">
        <v>16</v>
      </c>
      <c r="C38" s="2" t="s">
        <v>17</v>
      </c>
      <c r="D38" s="4">
        <v>11129</v>
      </c>
      <c r="E38" s="4">
        <v>11829</v>
      </c>
      <c r="F38" s="4">
        <f t="shared" si="4"/>
        <v>700</v>
      </c>
      <c r="G38" s="5">
        <f t="shared" si="5"/>
        <v>6.2898733039805907E-2</v>
      </c>
      <c r="H38" s="2" t="str">
        <f t="shared" si="6"/>
        <v>Over Budget</v>
      </c>
      <c r="I38" s="2" t="str">
        <f t="shared" si="7"/>
        <v>Review spending driver</v>
      </c>
    </row>
    <row r="39" spans="1:9">
      <c r="A39" s="3">
        <v>46113</v>
      </c>
      <c r="B39" s="2" t="s">
        <v>16</v>
      </c>
      <c r="C39" s="2" t="s">
        <v>18</v>
      </c>
      <c r="D39" s="4">
        <v>9744</v>
      </c>
      <c r="E39" s="4">
        <v>10515</v>
      </c>
      <c r="F39" s="4">
        <f t="shared" si="4"/>
        <v>771</v>
      </c>
      <c r="G39" s="5">
        <f t="shared" si="5"/>
        <v>7.9125615763546792E-2</v>
      </c>
      <c r="H39" s="2" t="str">
        <f t="shared" si="6"/>
        <v>Over Budget</v>
      </c>
      <c r="I39" s="2" t="str">
        <f t="shared" si="7"/>
        <v>Review spending driver</v>
      </c>
    </row>
    <row r="40" spans="1:9">
      <c r="A40" s="3">
        <v>46113</v>
      </c>
      <c r="B40" s="2" t="s">
        <v>19</v>
      </c>
      <c r="C40" s="2" t="s">
        <v>20</v>
      </c>
      <c r="D40" s="4">
        <v>5279</v>
      </c>
      <c r="E40" s="4">
        <v>5341</v>
      </c>
      <c r="F40" s="4">
        <f t="shared" si="4"/>
        <v>62</v>
      </c>
      <c r="G40" s="5">
        <f t="shared" si="5"/>
        <v>1.1744648607690851E-2</v>
      </c>
      <c r="H40" s="2" t="str">
        <f t="shared" si="6"/>
        <v>On Track</v>
      </c>
      <c r="I40" s="2" t="str">
        <f t="shared" si="7"/>
        <v>Within expected range</v>
      </c>
    </row>
    <row r="41" spans="1:9">
      <c r="A41" s="3">
        <v>46113</v>
      </c>
      <c r="B41" s="2" t="s">
        <v>19</v>
      </c>
      <c r="C41" s="2" t="s">
        <v>21</v>
      </c>
      <c r="D41" s="4">
        <v>6504</v>
      </c>
      <c r="E41" s="4">
        <v>6304</v>
      </c>
      <c r="F41" s="4">
        <f t="shared" si="4"/>
        <v>-200</v>
      </c>
      <c r="G41" s="5">
        <f t="shared" si="5"/>
        <v>-3.0750307503075031E-2</v>
      </c>
      <c r="H41" s="2" t="str">
        <f t="shared" si="6"/>
        <v>On Track</v>
      </c>
      <c r="I41" s="2" t="str">
        <f t="shared" si="7"/>
        <v>Within expected range</v>
      </c>
    </row>
    <row r="42" spans="1:9">
      <c r="A42" s="3">
        <v>46113</v>
      </c>
      <c r="B42" s="2" t="s">
        <v>22</v>
      </c>
      <c r="C42" s="2" t="s">
        <v>23</v>
      </c>
      <c r="D42" s="4">
        <v>6681</v>
      </c>
      <c r="E42" s="4">
        <v>6498</v>
      </c>
      <c r="F42" s="4">
        <f t="shared" si="4"/>
        <v>-183</v>
      </c>
      <c r="G42" s="5">
        <f t="shared" si="5"/>
        <v>-2.7391109115401886E-2</v>
      </c>
      <c r="H42" s="2" t="str">
        <f t="shared" si="6"/>
        <v>On Track</v>
      </c>
      <c r="I42" s="2" t="str">
        <f t="shared" si="7"/>
        <v>Within expected range</v>
      </c>
    </row>
    <row r="43" spans="1:9">
      <c r="A43" s="3">
        <v>46113</v>
      </c>
      <c r="B43" s="2" t="s">
        <v>22</v>
      </c>
      <c r="C43" s="2" t="s">
        <v>24</v>
      </c>
      <c r="D43" s="4">
        <v>5034</v>
      </c>
      <c r="E43" s="4">
        <v>5535</v>
      </c>
      <c r="F43" s="4">
        <f t="shared" si="4"/>
        <v>501</v>
      </c>
      <c r="G43" s="5">
        <f t="shared" si="5"/>
        <v>9.9523241954707992E-2</v>
      </c>
      <c r="H43" s="2" t="str">
        <f t="shared" si="6"/>
        <v>Over Budget</v>
      </c>
      <c r="I43" s="2" t="str">
        <f t="shared" si="7"/>
        <v>Review spending driver</v>
      </c>
    </row>
    <row r="44" spans="1:9">
      <c r="A44" s="3">
        <v>46113</v>
      </c>
      <c r="B44" s="2" t="s">
        <v>25</v>
      </c>
      <c r="C44" s="2" t="s">
        <v>26</v>
      </c>
      <c r="D44" s="4">
        <v>4527</v>
      </c>
      <c r="E44" s="4">
        <v>4363</v>
      </c>
      <c r="F44" s="4">
        <f t="shared" si="4"/>
        <v>-164</v>
      </c>
      <c r="G44" s="5">
        <f t="shared" si="5"/>
        <v>-3.6227081952728078E-2</v>
      </c>
      <c r="H44" s="2" t="str">
        <f t="shared" si="6"/>
        <v>On Track</v>
      </c>
      <c r="I44" s="2" t="str">
        <f t="shared" si="7"/>
        <v>Within expected range</v>
      </c>
    </row>
    <row r="45" spans="1:9">
      <c r="A45" s="3">
        <v>46113</v>
      </c>
      <c r="B45" s="2" t="s">
        <v>25</v>
      </c>
      <c r="C45" s="2" t="s">
        <v>27</v>
      </c>
      <c r="D45" s="4">
        <v>3233</v>
      </c>
      <c r="E45" s="4">
        <v>3304</v>
      </c>
      <c r="F45" s="4">
        <f t="shared" si="4"/>
        <v>71</v>
      </c>
      <c r="G45" s="5">
        <f t="shared" si="5"/>
        <v>2.196102690999072E-2</v>
      </c>
      <c r="H45" s="2" t="str">
        <f t="shared" si="6"/>
        <v>On Track</v>
      </c>
      <c r="I45" s="2" t="str">
        <f t="shared" si="7"/>
        <v>Within expected range</v>
      </c>
    </row>
    <row r="46" spans="1:9">
      <c r="A46" s="3">
        <v>46113</v>
      </c>
      <c r="B46" s="2" t="s">
        <v>28</v>
      </c>
      <c r="C46" s="2" t="s">
        <v>29</v>
      </c>
      <c r="D46" s="4">
        <v>4591</v>
      </c>
      <c r="E46" s="4">
        <v>4267</v>
      </c>
      <c r="F46" s="4">
        <f t="shared" si="4"/>
        <v>-324</v>
      </c>
      <c r="G46" s="5">
        <f t="shared" si="5"/>
        <v>-7.0572859943367455E-2</v>
      </c>
      <c r="H46" s="2" t="str">
        <f t="shared" si="6"/>
        <v>Under Budget</v>
      </c>
      <c r="I46" s="2" t="str">
        <f t="shared" si="7"/>
        <v>Monitor savings opportunity</v>
      </c>
    </row>
    <row r="47" spans="1:9">
      <c r="A47" s="3">
        <v>46113</v>
      </c>
      <c r="B47" s="2" t="s">
        <v>28</v>
      </c>
      <c r="C47" s="2" t="s">
        <v>30</v>
      </c>
      <c r="D47" s="4">
        <v>3918</v>
      </c>
      <c r="E47" s="4">
        <v>4096</v>
      </c>
      <c r="F47" s="4">
        <f t="shared" si="4"/>
        <v>178</v>
      </c>
      <c r="G47" s="5">
        <f t="shared" si="5"/>
        <v>4.5431342521694743E-2</v>
      </c>
      <c r="H47" s="2" t="str">
        <f t="shared" si="6"/>
        <v>On Track</v>
      </c>
      <c r="I47" s="2" t="str">
        <f t="shared" si="7"/>
        <v>Within expected range</v>
      </c>
    </row>
    <row r="48" spans="1:9">
      <c r="A48" s="3">
        <v>46113</v>
      </c>
      <c r="B48" s="2" t="s">
        <v>31</v>
      </c>
      <c r="C48" s="2" t="s">
        <v>32</v>
      </c>
      <c r="D48" s="4">
        <v>3218</v>
      </c>
      <c r="E48" s="4">
        <v>3232</v>
      </c>
      <c r="F48" s="4">
        <f t="shared" si="4"/>
        <v>14</v>
      </c>
      <c r="G48" s="5">
        <f t="shared" si="5"/>
        <v>4.3505282784338101E-3</v>
      </c>
      <c r="H48" s="2" t="str">
        <f t="shared" si="6"/>
        <v>On Track</v>
      </c>
      <c r="I48" s="2" t="str">
        <f t="shared" si="7"/>
        <v>Within expected range</v>
      </c>
    </row>
    <row r="49" spans="1:9">
      <c r="A49" s="3">
        <v>46113</v>
      </c>
      <c r="B49" s="2" t="s">
        <v>31</v>
      </c>
      <c r="C49" s="2" t="s">
        <v>33</v>
      </c>
      <c r="D49" s="4">
        <v>3295</v>
      </c>
      <c r="E49" s="4">
        <v>3283</v>
      </c>
      <c r="F49" s="4">
        <f t="shared" si="4"/>
        <v>-12</v>
      </c>
      <c r="G49" s="5">
        <f t="shared" si="5"/>
        <v>-3.6418816388467377E-3</v>
      </c>
      <c r="H49" s="2" t="str">
        <f t="shared" si="6"/>
        <v>On Track</v>
      </c>
      <c r="I49" s="2" t="str">
        <f t="shared" si="7"/>
        <v>Within expected range</v>
      </c>
    </row>
    <row r="50" spans="1:9">
      <c r="A50" s="3">
        <v>46143</v>
      </c>
      <c r="B50" s="2" t="s">
        <v>16</v>
      </c>
      <c r="C50" s="2" t="s">
        <v>17</v>
      </c>
      <c r="D50" s="4">
        <v>11377</v>
      </c>
      <c r="E50" s="4">
        <v>11671</v>
      </c>
      <c r="F50" s="4">
        <f t="shared" si="4"/>
        <v>294</v>
      </c>
      <c r="G50" s="5">
        <f t="shared" si="5"/>
        <v>2.5841610266326798E-2</v>
      </c>
      <c r="H50" s="2" t="str">
        <f t="shared" si="6"/>
        <v>On Track</v>
      </c>
      <c r="I50" s="2" t="str">
        <f t="shared" si="7"/>
        <v>Within expected range</v>
      </c>
    </row>
    <row r="51" spans="1:9">
      <c r="A51" s="3">
        <v>46143</v>
      </c>
      <c r="B51" s="2" t="s">
        <v>16</v>
      </c>
      <c r="C51" s="2" t="s">
        <v>18</v>
      </c>
      <c r="D51" s="4">
        <v>10340</v>
      </c>
      <c r="E51" s="4">
        <v>11293</v>
      </c>
      <c r="F51" s="4">
        <f t="shared" si="4"/>
        <v>953</v>
      </c>
      <c r="G51" s="5">
        <f t="shared" si="5"/>
        <v>9.2166344294003874E-2</v>
      </c>
      <c r="H51" s="2" t="str">
        <f t="shared" si="6"/>
        <v>Over Budget</v>
      </c>
      <c r="I51" s="2" t="str">
        <f t="shared" si="7"/>
        <v>Review spending driver</v>
      </c>
    </row>
    <row r="52" spans="1:9">
      <c r="A52" s="3">
        <v>46143</v>
      </c>
      <c r="B52" s="2" t="s">
        <v>19</v>
      </c>
      <c r="C52" s="2" t="s">
        <v>20</v>
      </c>
      <c r="D52" s="4">
        <v>4399</v>
      </c>
      <c r="E52" s="4">
        <v>4681</v>
      </c>
      <c r="F52" s="4">
        <f t="shared" si="4"/>
        <v>282</v>
      </c>
      <c r="G52" s="5">
        <f t="shared" si="5"/>
        <v>6.4105478517844969E-2</v>
      </c>
      <c r="H52" s="2" t="str">
        <f t="shared" si="6"/>
        <v>Over Budget</v>
      </c>
      <c r="I52" s="2" t="str">
        <f t="shared" si="7"/>
        <v>Review spending driver</v>
      </c>
    </row>
    <row r="53" spans="1:9">
      <c r="A53" s="3">
        <v>46143</v>
      </c>
      <c r="B53" s="2" t="s">
        <v>19</v>
      </c>
      <c r="C53" s="2" t="s">
        <v>21</v>
      </c>
      <c r="D53" s="4">
        <v>7073</v>
      </c>
      <c r="E53" s="4">
        <v>7267</v>
      </c>
      <c r="F53" s="4">
        <f t="shared" si="4"/>
        <v>194</v>
      </c>
      <c r="G53" s="5">
        <f t="shared" si="5"/>
        <v>2.7428248268061641E-2</v>
      </c>
      <c r="H53" s="2" t="str">
        <f t="shared" si="6"/>
        <v>On Track</v>
      </c>
      <c r="I53" s="2" t="str">
        <f t="shared" si="7"/>
        <v>Within expected range</v>
      </c>
    </row>
    <row r="54" spans="1:9">
      <c r="A54" s="3">
        <v>46143</v>
      </c>
      <c r="B54" s="2" t="s">
        <v>22</v>
      </c>
      <c r="C54" s="2" t="s">
        <v>23</v>
      </c>
      <c r="D54" s="4">
        <v>6292</v>
      </c>
      <c r="E54" s="4">
        <v>6595</v>
      </c>
      <c r="F54" s="4">
        <f t="shared" si="4"/>
        <v>303</v>
      </c>
      <c r="G54" s="5">
        <f t="shared" si="5"/>
        <v>4.8156389065479976E-2</v>
      </c>
      <c r="H54" s="2" t="str">
        <f t="shared" si="6"/>
        <v>On Track</v>
      </c>
      <c r="I54" s="2" t="str">
        <f t="shared" si="7"/>
        <v>Within expected range</v>
      </c>
    </row>
    <row r="55" spans="1:9">
      <c r="A55" s="3">
        <v>46143</v>
      </c>
      <c r="B55" s="2" t="s">
        <v>22</v>
      </c>
      <c r="C55" s="2" t="s">
        <v>24</v>
      </c>
      <c r="D55" s="4">
        <v>4565</v>
      </c>
      <c r="E55" s="4">
        <v>4597</v>
      </c>
      <c r="F55" s="4">
        <f t="shared" si="4"/>
        <v>32</v>
      </c>
      <c r="G55" s="5">
        <f t="shared" si="5"/>
        <v>7.0098576122672512E-3</v>
      </c>
      <c r="H55" s="2" t="str">
        <f t="shared" si="6"/>
        <v>On Track</v>
      </c>
      <c r="I55" s="2" t="str">
        <f t="shared" si="7"/>
        <v>Within expected range</v>
      </c>
    </row>
    <row r="56" spans="1:9">
      <c r="A56" s="3">
        <v>46143</v>
      </c>
      <c r="B56" s="2" t="s">
        <v>25</v>
      </c>
      <c r="C56" s="2" t="s">
        <v>26</v>
      </c>
      <c r="D56" s="4">
        <v>4577</v>
      </c>
      <c r="E56" s="4">
        <v>5084</v>
      </c>
      <c r="F56" s="4">
        <f t="shared" si="4"/>
        <v>507</v>
      </c>
      <c r="G56" s="5">
        <f t="shared" si="5"/>
        <v>0.11077124754205811</v>
      </c>
      <c r="H56" s="2" t="str">
        <f t="shared" si="6"/>
        <v>Over Budget</v>
      </c>
      <c r="I56" s="2" t="str">
        <f t="shared" si="7"/>
        <v>Review spending driver</v>
      </c>
    </row>
    <row r="57" spans="1:9">
      <c r="A57" s="3">
        <v>46143</v>
      </c>
      <c r="B57" s="2" t="s">
        <v>25</v>
      </c>
      <c r="C57" s="2" t="s">
        <v>27</v>
      </c>
      <c r="D57" s="4">
        <v>3161</v>
      </c>
      <c r="E57" s="4">
        <v>3075</v>
      </c>
      <c r="F57" s="4">
        <f t="shared" si="4"/>
        <v>-86</v>
      </c>
      <c r="G57" s="5">
        <f t="shared" si="5"/>
        <v>-2.7206580196140463E-2</v>
      </c>
      <c r="H57" s="2" t="str">
        <f t="shared" si="6"/>
        <v>On Track</v>
      </c>
      <c r="I57" s="2" t="str">
        <f t="shared" si="7"/>
        <v>Within expected range</v>
      </c>
    </row>
    <row r="58" spans="1:9">
      <c r="A58" s="3">
        <v>46143</v>
      </c>
      <c r="B58" s="2" t="s">
        <v>28</v>
      </c>
      <c r="C58" s="2" t="s">
        <v>29</v>
      </c>
      <c r="D58" s="4">
        <v>5001</v>
      </c>
      <c r="E58" s="4">
        <v>4780</v>
      </c>
      <c r="F58" s="4">
        <f t="shared" si="4"/>
        <v>-221</v>
      </c>
      <c r="G58" s="5">
        <f t="shared" si="5"/>
        <v>-4.4191161767646474E-2</v>
      </c>
      <c r="H58" s="2" t="str">
        <f t="shared" si="6"/>
        <v>On Track</v>
      </c>
      <c r="I58" s="2" t="str">
        <f t="shared" si="7"/>
        <v>Within expected range</v>
      </c>
    </row>
    <row r="59" spans="1:9">
      <c r="A59" s="3">
        <v>46143</v>
      </c>
      <c r="B59" s="2" t="s">
        <v>28</v>
      </c>
      <c r="C59" s="2" t="s">
        <v>30</v>
      </c>
      <c r="D59" s="4">
        <v>4601</v>
      </c>
      <c r="E59" s="4">
        <v>5034</v>
      </c>
      <c r="F59" s="4">
        <f t="shared" si="4"/>
        <v>433</v>
      </c>
      <c r="G59" s="5">
        <f t="shared" si="5"/>
        <v>9.410997609215388E-2</v>
      </c>
      <c r="H59" s="2" t="str">
        <f t="shared" si="6"/>
        <v>Over Budget</v>
      </c>
      <c r="I59" s="2" t="str">
        <f t="shared" si="7"/>
        <v>Review spending driver</v>
      </c>
    </row>
    <row r="60" spans="1:9">
      <c r="A60" s="3">
        <v>46143</v>
      </c>
      <c r="B60" s="2" t="s">
        <v>31</v>
      </c>
      <c r="C60" s="2" t="s">
        <v>32</v>
      </c>
      <c r="D60" s="4">
        <v>2917</v>
      </c>
      <c r="E60" s="4">
        <v>3056</v>
      </c>
      <c r="F60" s="4">
        <f t="shared" si="4"/>
        <v>139</v>
      </c>
      <c r="G60" s="5">
        <f t="shared" si="5"/>
        <v>4.7651696948920123E-2</v>
      </c>
      <c r="H60" s="2" t="str">
        <f t="shared" si="6"/>
        <v>On Track</v>
      </c>
      <c r="I60" s="2" t="str">
        <f t="shared" si="7"/>
        <v>Within expected range</v>
      </c>
    </row>
    <row r="61" spans="1:9">
      <c r="A61" s="3">
        <v>46143</v>
      </c>
      <c r="B61" s="2" t="s">
        <v>31</v>
      </c>
      <c r="C61" s="2" t="s">
        <v>33</v>
      </c>
      <c r="D61" s="4">
        <v>3689</v>
      </c>
      <c r="E61" s="4">
        <v>3507</v>
      </c>
      <c r="F61" s="4">
        <f t="shared" si="4"/>
        <v>-182</v>
      </c>
      <c r="G61" s="5">
        <f t="shared" si="5"/>
        <v>-4.9335863377609111E-2</v>
      </c>
      <c r="H61" s="2" t="str">
        <f t="shared" si="6"/>
        <v>On Track</v>
      </c>
      <c r="I61" s="2" t="str">
        <f t="shared" si="7"/>
        <v>Within expected range</v>
      </c>
    </row>
    <row r="62" spans="1:9">
      <c r="A62" s="3">
        <v>46174</v>
      </c>
      <c r="B62" s="2" t="s">
        <v>16</v>
      </c>
      <c r="C62" s="2" t="s">
        <v>17</v>
      </c>
      <c r="D62" s="4">
        <v>10893</v>
      </c>
      <c r="E62" s="4">
        <v>11197</v>
      </c>
      <c r="F62" s="4">
        <f t="shared" si="4"/>
        <v>304</v>
      </c>
      <c r="G62" s="5">
        <f t="shared" si="5"/>
        <v>2.7907830716974204E-2</v>
      </c>
      <c r="H62" s="2" t="str">
        <f t="shared" si="6"/>
        <v>On Track</v>
      </c>
      <c r="I62" s="2" t="str">
        <f t="shared" si="7"/>
        <v>Within expected range</v>
      </c>
    </row>
    <row r="63" spans="1:9">
      <c r="A63" s="3">
        <v>46174</v>
      </c>
      <c r="B63" s="2" t="s">
        <v>16</v>
      </c>
      <c r="C63" s="2" t="s">
        <v>18</v>
      </c>
      <c r="D63" s="4">
        <v>9977</v>
      </c>
      <c r="E63" s="4">
        <v>10237</v>
      </c>
      <c r="F63" s="4">
        <f t="shared" si="4"/>
        <v>260</v>
      </c>
      <c r="G63" s="5">
        <f t="shared" si="5"/>
        <v>2.6059937857071263E-2</v>
      </c>
      <c r="H63" s="2" t="str">
        <f t="shared" si="6"/>
        <v>On Track</v>
      </c>
      <c r="I63" s="2" t="str">
        <f t="shared" si="7"/>
        <v>Within expected range</v>
      </c>
    </row>
    <row r="64" spans="1:9">
      <c r="A64" s="3">
        <v>46174</v>
      </c>
      <c r="B64" s="2" t="s">
        <v>19</v>
      </c>
      <c r="C64" s="2" t="s">
        <v>20</v>
      </c>
      <c r="D64" s="4">
        <v>4388</v>
      </c>
      <c r="E64" s="4">
        <v>4321</v>
      </c>
      <c r="F64" s="4">
        <f t="shared" si="4"/>
        <v>-67</v>
      </c>
      <c r="G64" s="5">
        <f t="shared" si="5"/>
        <v>-1.5268915223336371E-2</v>
      </c>
      <c r="H64" s="2" t="str">
        <f t="shared" si="6"/>
        <v>On Track</v>
      </c>
      <c r="I64" s="2" t="str">
        <f t="shared" si="7"/>
        <v>Within expected range</v>
      </c>
    </row>
    <row r="65" spans="1:9">
      <c r="A65" s="3">
        <v>46174</v>
      </c>
      <c r="B65" s="2" t="s">
        <v>19</v>
      </c>
      <c r="C65" s="2" t="s">
        <v>21</v>
      </c>
      <c r="D65" s="4">
        <v>6169</v>
      </c>
      <c r="E65" s="4">
        <v>6822</v>
      </c>
      <c r="F65" s="4">
        <f t="shared" si="4"/>
        <v>653</v>
      </c>
      <c r="G65" s="5">
        <f t="shared" si="5"/>
        <v>0.10585183984438321</v>
      </c>
      <c r="H65" s="2" t="str">
        <f t="shared" si="6"/>
        <v>Over Budget</v>
      </c>
      <c r="I65" s="2" t="str">
        <f t="shared" si="7"/>
        <v>Review spending driver</v>
      </c>
    </row>
    <row r="66" spans="1:9">
      <c r="A66" s="3">
        <v>46174</v>
      </c>
      <c r="B66" s="2" t="s">
        <v>22</v>
      </c>
      <c r="C66" s="2" t="s">
        <v>23</v>
      </c>
      <c r="D66" s="4">
        <v>7100</v>
      </c>
      <c r="E66" s="4">
        <v>8423</v>
      </c>
      <c r="F66" s="4">
        <f t="shared" ref="F66:F97" si="8">E66-D66</f>
        <v>1323</v>
      </c>
      <c r="G66" s="5">
        <f t="shared" ref="G66:G97" si="9">IF(D66=0,0,F66/D66)</f>
        <v>0.1863380281690141</v>
      </c>
      <c r="H66" s="2" t="str">
        <f t="shared" ref="H66:H97" si="10">IF(G66&gt;0.05,"Over Budget",IF(G66&lt;-0.05,"Under Budget","On Track"))</f>
        <v>Over Budget</v>
      </c>
      <c r="I66" s="2" t="str">
        <f t="shared" ref="I66:I97" si="11">IF(H66="Over Budget","Review spending driver",IF(H66="Under Budget","Monitor savings opportunity","Within expected range"))</f>
        <v>Review spending driver</v>
      </c>
    </row>
    <row r="67" spans="1:9">
      <c r="A67" s="3">
        <v>46174</v>
      </c>
      <c r="B67" s="2" t="s">
        <v>22</v>
      </c>
      <c r="C67" s="2" t="s">
        <v>24</v>
      </c>
      <c r="D67" s="4">
        <v>4759</v>
      </c>
      <c r="E67" s="4">
        <v>4909</v>
      </c>
      <c r="F67" s="4">
        <f t="shared" si="8"/>
        <v>150</v>
      </c>
      <c r="G67" s="5">
        <f t="shared" si="9"/>
        <v>3.1519226728304268E-2</v>
      </c>
      <c r="H67" s="2" t="str">
        <f t="shared" si="10"/>
        <v>On Track</v>
      </c>
      <c r="I67" s="2" t="str">
        <f t="shared" si="11"/>
        <v>Within expected range</v>
      </c>
    </row>
    <row r="68" spans="1:9">
      <c r="A68" s="3">
        <v>46174</v>
      </c>
      <c r="B68" s="2" t="s">
        <v>25</v>
      </c>
      <c r="C68" s="2" t="s">
        <v>26</v>
      </c>
      <c r="D68" s="4">
        <v>4969</v>
      </c>
      <c r="E68" s="4">
        <v>5513</v>
      </c>
      <c r="F68" s="4">
        <f t="shared" si="8"/>
        <v>544</v>
      </c>
      <c r="G68" s="5">
        <f t="shared" si="9"/>
        <v>0.10947876836385591</v>
      </c>
      <c r="H68" s="2" t="str">
        <f t="shared" si="10"/>
        <v>Over Budget</v>
      </c>
      <c r="I68" s="2" t="str">
        <f t="shared" si="11"/>
        <v>Review spending driver</v>
      </c>
    </row>
    <row r="69" spans="1:9">
      <c r="A69" s="3">
        <v>46174</v>
      </c>
      <c r="B69" s="2" t="s">
        <v>25</v>
      </c>
      <c r="C69" s="2" t="s">
        <v>27</v>
      </c>
      <c r="D69" s="4">
        <v>2696</v>
      </c>
      <c r="E69" s="4">
        <v>2742</v>
      </c>
      <c r="F69" s="4">
        <f t="shared" si="8"/>
        <v>46</v>
      </c>
      <c r="G69" s="5">
        <f t="shared" si="9"/>
        <v>1.7062314540059347E-2</v>
      </c>
      <c r="H69" s="2" t="str">
        <f t="shared" si="10"/>
        <v>On Track</v>
      </c>
      <c r="I69" s="2" t="str">
        <f t="shared" si="11"/>
        <v>Within expected range</v>
      </c>
    </row>
    <row r="70" spans="1:9">
      <c r="A70" s="3">
        <v>46174</v>
      </c>
      <c r="B70" s="2" t="s">
        <v>28</v>
      </c>
      <c r="C70" s="2" t="s">
        <v>29</v>
      </c>
      <c r="D70" s="4">
        <v>4569</v>
      </c>
      <c r="E70" s="4">
        <v>4899</v>
      </c>
      <c r="F70" s="4">
        <f t="shared" si="8"/>
        <v>330</v>
      </c>
      <c r="G70" s="5">
        <f t="shared" si="9"/>
        <v>7.2225869993434014E-2</v>
      </c>
      <c r="H70" s="2" t="str">
        <f t="shared" si="10"/>
        <v>Over Budget</v>
      </c>
      <c r="I70" s="2" t="str">
        <f t="shared" si="11"/>
        <v>Review spending driver</v>
      </c>
    </row>
    <row r="71" spans="1:9">
      <c r="A71" s="3">
        <v>46174</v>
      </c>
      <c r="B71" s="2" t="s">
        <v>28</v>
      </c>
      <c r="C71" s="2" t="s">
        <v>30</v>
      </c>
      <c r="D71" s="4">
        <v>4476</v>
      </c>
      <c r="E71" s="4">
        <v>4233</v>
      </c>
      <c r="F71" s="4">
        <f t="shared" si="8"/>
        <v>-243</v>
      </c>
      <c r="G71" s="5">
        <f t="shared" si="9"/>
        <v>-5.4289544235924934E-2</v>
      </c>
      <c r="H71" s="2" t="str">
        <f t="shared" si="10"/>
        <v>Under Budget</v>
      </c>
      <c r="I71" s="2" t="str">
        <f t="shared" si="11"/>
        <v>Monitor savings opportunity</v>
      </c>
    </row>
    <row r="72" spans="1:9">
      <c r="A72" s="3">
        <v>46174</v>
      </c>
      <c r="B72" s="2" t="s">
        <v>31</v>
      </c>
      <c r="C72" s="2" t="s">
        <v>32</v>
      </c>
      <c r="D72" s="4">
        <v>3025</v>
      </c>
      <c r="E72" s="4">
        <v>3116</v>
      </c>
      <c r="F72" s="4">
        <f t="shared" si="8"/>
        <v>91</v>
      </c>
      <c r="G72" s="5">
        <f t="shared" si="9"/>
        <v>3.0082644628099172E-2</v>
      </c>
      <c r="H72" s="2" t="str">
        <f t="shared" si="10"/>
        <v>On Track</v>
      </c>
      <c r="I72" s="2" t="str">
        <f t="shared" si="11"/>
        <v>Within expected range</v>
      </c>
    </row>
    <row r="73" spans="1:9">
      <c r="A73" s="3">
        <v>46174</v>
      </c>
      <c r="B73" s="2" t="s">
        <v>31</v>
      </c>
      <c r="C73" s="2" t="s">
        <v>33</v>
      </c>
      <c r="D73" s="4">
        <v>3440</v>
      </c>
      <c r="E73" s="4">
        <v>3765</v>
      </c>
      <c r="F73" s="4">
        <f t="shared" si="8"/>
        <v>325</v>
      </c>
      <c r="G73" s="5">
        <f t="shared" si="9"/>
        <v>9.4476744186046513E-2</v>
      </c>
      <c r="H73" s="2" t="str">
        <f t="shared" si="10"/>
        <v>Over Budget</v>
      </c>
      <c r="I73" s="2" t="str">
        <f t="shared" si="11"/>
        <v>Review spending driver</v>
      </c>
    </row>
    <row r="74" spans="1:9">
      <c r="A74" s="3">
        <v>46204</v>
      </c>
      <c r="B74" s="2" t="s">
        <v>16</v>
      </c>
      <c r="C74" s="2" t="s">
        <v>17</v>
      </c>
      <c r="D74" s="4">
        <v>10191</v>
      </c>
      <c r="E74" s="4">
        <v>9807</v>
      </c>
      <c r="F74" s="4">
        <f t="shared" si="8"/>
        <v>-384</v>
      </c>
      <c r="G74" s="5">
        <f t="shared" si="9"/>
        <v>-3.7680306152487492E-2</v>
      </c>
      <c r="H74" s="2" t="str">
        <f t="shared" si="10"/>
        <v>On Track</v>
      </c>
      <c r="I74" s="2" t="str">
        <f t="shared" si="11"/>
        <v>Within expected range</v>
      </c>
    </row>
    <row r="75" spans="1:9">
      <c r="A75" s="3">
        <v>46204</v>
      </c>
      <c r="B75" s="2" t="s">
        <v>16</v>
      </c>
      <c r="C75" s="2" t="s">
        <v>18</v>
      </c>
      <c r="D75" s="4">
        <v>9524</v>
      </c>
      <c r="E75" s="4">
        <v>10152</v>
      </c>
      <c r="F75" s="4">
        <f t="shared" si="8"/>
        <v>628</v>
      </c>
      <c r="G75" s="5">
        <f t="shared" si="9"/>
        <v>6.5938681226375473E-2</v>
      </c>
      <c r="H75" s="2" t="str">
        <f t="shared" si="10"/>
        <v>Over Budget</v>
      </c>
      <c r="I75" s="2" t="str">
        <f t="shared" si="11"/>
        <v>Review spending driver</v>
      </c>
    </row>
    <row r="76" spans="1:9">
      <c r="A76" s="3">
        <v>46204</v>
      </c>
      <c r="B76" s="2" t="s">
        <v>19</v>
      </c>
      <c r="C76" s="2" t="s">
        <v>20</v>
      </c>
      <c r="D76" s="4">
        <v>4584</v>
      </c>
      <c r="E76" s="4">
        <v>4503</v>
      </c>
      <c r="F76" s="4">
        <f t="shared" si="8"/>
        <v>-81</v>
      </c>
      <c r="G76" s="5">
        <f t="shared" si="9"/>
        <v>-1.7670157068062829E-2</v>
      </c>
      <c r="H76" s="2" t="str">
        <f t="shared" si="10"/>
        <v>On Track</v>
      </c>
      <c r="I76" s="2" t="str">
        <f t="shared" si="11"/>
        <v>Within expected range</v>
      </c>
    </row>
    <row r="77" spans="1:9">
      <c r="A77" s="3">
        <v>46204</v>
      </c>
      <c r="B77" s="2" t="s">
        <v>19</v>
      </c>
      <c r="C77" s="2" t="s">
        <v>21</v>
      </c>
      <c r="D77" s="4">
        <v>7501</v>
      </c>
      <c r="E77" s="4">
        <v>7876</v>
      </c>
      <c r="F77" s="4">
        <f t="shared" si="8"/>
        <v>375</v>
      </c>
      <c r="G77" s="5">
        <f t="shared" si="9"/>
        <v>4.9993334222103718E-2</v>
      </c>
      <c r="H77" s="2" t="str">
        <f t="shared" si="10"/>
        <v>On Track</v>
      </c>
      <c r="I77" s="2" t="str">
        <f t="shared" si="11"/>
        <v>Within expected range</v>
      </c>
    </row>
    <row r="78" spans="1:9">
      <c r="A78" s="3">
        <v>46204</v>
      </c>
      <c r="B78" s="2" t="s">
        <v>22</v>
      </c>
      <c r="C78" s="2" t="s">
        <v>23</v>
      </c>
      <c r="D78" s="4">
        <v>6518</v>
      </c>
      <c r="E78" s="4">
        <v>7323</v>
      </c>
      <c r="F78" s="4">
        <f t="shared" si="8"/>
        <v>805</v>
      </c>
      <c r="G78" s="5">
        <f t="shared" si="9"/>
        <v>0.12350414237496164</v>
      </c>
      <c r="H78" s="2" t="str">
        <f t="shared" si="10"/>
        <v>Over Budget</v>
      </c>
      <c r="I78" s="2" t="str">
        <f t="shared" si="11"/>
        <v>Review spending driver</v>
      </c>
    </row>
    <row r="79" spans="1:9">
      <c r="A79" s="3">
        <v>46204</v>
      </c>
      <c r="B79" s="2" t="s">
        <v>22</v>
      </c>
      <c r="C79" s="2" t="s">
        <v>24</v>
      </c>
      <c r="D79" s="4">
        <v>4575</v>
      </c>
      <c r="E79" s="4">
        <v>4872</v>
      </c>
      <c r="F79" s="4">
        <f t="shared" si="8"/>
        <v>297</v>
      </c>
      <c r="G79" s="5">
        <f t="shared" si="9"/>
        <v>6.4918032786885252E-2</v>
      </c>
      <c r="H79" s="2" t="str">
        <f t="shared" si="10"/>
        <v>Over Budget</v>
      </c>
      <c r="I79" s="2" t="str">
        <f t="shared" si="11"/>
        <v>Review spending driver</v>
      </c>
    </row>
    <row r="80" spans="1:9">
      <c r="A80" s="3">
        <v>46204</v>
      </c>
      <c r="B80" s="2" t="s">
        <v>25</v>
      </c>
      <c r="C80" s="2" t="s">
        <v>26</v>
      </c>
      <c r="D80" s="4">
        <v>4470</v>
      </c>
      <c r="E80" s="4">
        <v>4638</v>
      </c>
      <c r="F80" s="4">
        <f t="shared" si="8"/>
        <v>168</v>
      </c>
      <c r="G80" s="5">
        <f t="shared" si="9"/>
        <v>3.7583892617449662E-2</v>
      </c>
      <c r="H80" s="2" t="str">
        <f t="shared" si="10"/>
        <v>On Track</v>
      </c>
      <c r="I80" s="2" t="str">
        <f t="shared" si="11"/>
        <v>Within expected range</v>
      </c>
    </row>
    <row r="81" spans="1:9">
      <c r="A81" s="3">
        <v>46204</v>
      </c>
      <c r="B81" s="2" t="s">
        <v>25</v>
      </c>
      <c r="C81" s="2" t="s">
        <v>27</v>
      </c>
      <c r="D81" s="4">
        <v>2781</v>
      </c>
      <c r="E81" s="4">
        <v>2681</v>
      </c>
      <c r="F81" s="4">
        <f t="shared" si="8"/>
        <v>-100</v>
      </c>
      <c r="G81" s="5">
        <f t="shared" si="9"/>
        <v>-3.5958288385472853E-2</v>
      </c>
      <c r="H81" s="2" t="str">
        <f t="shared" si="10"/>
        <v>On Track</v>
      </c>
      <c r="I81" s="2" t="str">
        <f t="shared" si="11"/>
        <v>Within expected range</v>
      </c>
    </row>
    <row r="82" spans="1:9">
      <c r="A82" s="3">
        <v>46204</v>
      </c>
      <c r="B82" s="2" t="s">
        <v>28</v>
      </c>
      <c r="C82" s="2" t="s">
        <v>29</v>
      </c>
      <c r="D82" s="4">
        <v>4571</v>
      </c>
      <c r="E82" s="4">
        <v>4782</v>
      </c>
      <c r="F82" s="4">
        <f t="shared" si="8"/>
        <v>211</v>
      </c>
      <c r="G82" s="5">
        <f t="shared" si="9"/>
        <v>4.6160577554145703E-2</v>
      </c>
      <c r="H82" s="2" t="str">
        <f t="shared" si="10"/>
        <v>On Track</v>
      </c>
      <c r="I82" s="2" t="str">
        <f t="shared" si="11"/>
        <v>Within expected range</v>
      </c>
    </row>
    <row r="83" spans="1:9">
      <c r="A83" s="3">
        <v>46204</v>
      </c>
      <c r="B83" s="2" t="s">
        <v>28</v>
      </c>
      <c r="C83" s="2" t="s">
        <v>30</v>
      </c>
      <c r="D83" s="4">
        <v>4020</v>
      </c>
      <c r="E83" s="4">
        <v>4426</v>
      </c>
      <c r="F83" s="4">
        <f t="shared" si="8"/>
        <v>406</v>
      </c>
      <c r="G83" s="5">
        <f t="shared" si="9"/>
        <v>0.1009950248756219</v>
      </c>
      <c r="H83" s="2" t="str">
        <f t="shared" si="10"/>
        <v>Over Budget</v>
      </c>
      <c r="I83" s="2" t="str">
        <f t="shared" si="11"/>
        <v>Review spending driver</v>
      </c>
    </row>
    <row r="84" spans="1:9">
      <c r="A84" s="3">
        <v>46204</v>
      </c>
      <c r="B84" s="2" t="s">
        <v>31</v>
      </c>
      <c r="C84" s="2" t="s">
        <v>32</v>
      </c>
      <c r="D84" s="4">
        <v>3259</v>
      </c>
      <c r="E84" s="4">
        <v>3044</v>
      </c>
      <c r="F84" s="4">
        <f t="shared" si="8"/>
        <v>-215</v>
      </c>
      <c r="G84" s="5">
        <f t="shared" si="9"/>
        <v>-6.597115679656336E-2</v>
      </c>
      <c r="H84" s="2" t="str">
        <f t="shared" si="10"/>
        <v>Under Budget</v>
      </c>
      <c r="I84" s="2" t="str">
        <f t="shared" si="11"/>
        <v>Monitor savings opportunity</v>
      </c>
    </row>
    <row r="85" spans="1:9">
      <c r="A85" s="3">
        <v>46204</v>
      </c>
      <c r="B85" s="2" t="s">
        <v>31</v>
      </c>
      <c r="C85" s="2" t="s">
        <v>33</v>
      </c>
      <c r="D85" s="4">
        <v>3421</v>
      </c>
      <c r="E85" s="4">
        <v>3605</v>
      </c>
      <c r="F85" s="4">
        <f t="shared" si="8"/>
        <v>184</v>
      </c>
      <c r="G85" s="5">
        <f t="shared" si="9"/>
        <v>5.3785442852966971E-2</v>
      </c>
      <c r="H85" s="2" t="str">
        <f t="shared" si="10"/>
        <v>Over Budget</v>
      </c>
      <c r="I85" s="2" t="str">
        <f t="shared" si="11"/>
        <v>Review spending driver</v>
      </c>
    </row>
    <row r="86" spans="1:9">
      <c r="A86" s="3">
        <v>46235</v>
      </c>
      <c r="B86" s="2" t="s">
        <v>16</v>
      </c>
      <c r="C86" s="2" t="s">
        <v>17</v>
      </c>
      <c r="D86" s="4">
        <v>9758</v>
      </c>
      <c r="E86" s="4">
        <v>10016</v>
      </c>
      <c r="F86" s="4">
        <f t="shared" si="8"/>
        <v>258</v>
      </c>
      <c r="G86" s="5">
        <f t="shared" si="9"/>
        <v>2.6439844230375077E-2</v>
      </c>
      <c r="H86" s="2" t="str">
        <f t="shared" si="10"/>
        <v>On Track</v>
      </c>
      <c r="I86" s="2" t="str">
        <f t="shared" si="11"/>
        <v>Within expected range</v>
      </c>
    </row>
    <row r="87" spans="1:9">
      <c r="A87" s="3">
        <v>46235</v>
      </c>
      <c r="B87" s="2" t="s">
        <v>16</v>
      </c>
      <c r="C87" s="2" t="s">
        <v>18</v>
      </c>
      <c r="D87" s="4">
        <v>10273</v>
      </c>
      <c r="E87" s="4">
        <v>11446</v>
      </c>
      <c r="F87" s="4">
        <f t="shared" si="8"/>
        <v>1173</v>
      </c>
      <c r="G87" s="5">
        <f t="shared" si="9"/>
        <v>0.11418280930594762</v>
      </c>
      <c r="H87" s="2" t="str">
        <f t="shared" si="10"/>
        <v>Over Budget</v>
      </c>
      <c r="I87" s="2" t="str">
        <f t="shared" si="11"/>
        <v>Review spending driver</v>
      </c>
    </row>
    <row r="88" spans="1:9">
      <c r="A88" s="3">
        <v>46235</v>
      </c>
      <c r="B88" s="2" t="s">
        <v>19</v>
      </c>
      <c r="C88" s="2" t="s">
        <v>20</v>
      </c>
      <c r="D88" s="4">
        <v>4848</v>
      </c>
      <c r="E88" s="4">
        <v>5221</v>
      </c>
      <c r="F88" s="4">
        <f t="shared" si="8"/>
        <v>373</v>
      </c>
      <c r="G88" s="5">
        <f t="shared" si="9"/>
        <v>7.6938943894389433E-2</v>
      </c>
      <c r="H88" s="2" t="str">
        <f t="shared" si="10"/>
        <v>Over Budget</v>
      </c>
      <c r="I88" s="2" t="str">
        <f t="shared" si="11"/>
        <v>Review spending driver</v>
      </c>
    </row>
    <row r="89" spans="1:9">
      <c r="A89" s="3">
        <v>46235</v>
      </c>
      <c r="B89" s="2" t="s">
        <v>19</v>
      </c>
      <c r="C89" s="2" t="s">
        <v>21</v>
      </c>
      <c r="D89" s="4">
        <v>7245</v>
      </c>
      <c r="E89" s="4">
        <v>6941</v>
      </c>
      <c r="F89" s="4">
        <f t="shared" si="8"/>
        <v>-304</v>
      </c>
      <c r="G89" s="5">
        <f t="shared" si="9"/>
        <v>-4.1959972394755005E-2</v>
      </c>
      <c r="H89" s="2" t="str">
        <f t="shared" si="10"/>
        <v>On Track</v>
      </c>
      <c r="I89" s="2" t="str">
        <f t="shared" si="11"/>
        <v>Within expected range</v>
      </c>
    </row>
    <row r="90" spans="1:9">
      <c r="A90" s="3">
        <v>46235</v>
      </c>
      <c r="B90" s="2" t="s">
        <v>22</v>
      </c>
      <c r="C90" s="2" t="s">
        <v>23</v>
      </c>
      <c r="D90" s="4">
        <v>6068</v>
      </c>
      <c r="E90" s="4">
        <v>6106</v>
      </c>
      <c r="F90" s="4">
        <f t="shared" si="8"/>
        <v>38</v>
      </c>
      <c r="G90" s="5">
        <f t="shared" si="9"/>
        <v>6.2623599208965061E-3</v>
      </c>
      <c r="H90" s="2" t="str">
        <f t="shared" si="10"/>
        <v>On Track</v>
      </c>
      <c r="I90" s="2" t="str">
        <f t="shared" si="11"/>
        <v>Within expected range</v>
      </c>
    </row>
    <row r="91" spans="1:9">
      <c r="A91" s="3">
        <v>46235</v>
      </c>
      <c r="B91" s="2" t="s">
        <v>22</v>
      </c>
      <c r="C91" s="2" t="s">
        <v>24</v>
      </c>
      <c r="D91" s="4">
        <v>4874</v>
      </c>
      <c r="E91" s="4">
        <v>4939</v>
      </c>
      <c r="F91" s="4">
        <f t="shared" si="8"/>
        <v>65</v>
      </c>
      <c r="G91" s="5">
        <f t="shared" si="9"/>
        <v>1.3336068937217891E-2</v>
      </c>
      <c r="H91" s="2" t="str">
        <f t="shared" si="10"/>
        <v>On Track</v>
      </c>
      <c r="I91" s="2" t="str">
        <f t="shared" si="11"/>
        <v>Within expected range</v>
      </c>
    </row>
    <row r="92" spans="1:9">
      <c r="A92" s="3">
        <v>46235</v>
      </c>
      <c r="B92" s="2" t="s">
        <v>25</v>
      </c>
      <c r="C92" s="2" t="s">
        <v>26</v>
      </c>
      <c r="D92" s="4">
        <v>4832</v>
      </c>
      <c r="E92" s="4">
        <v>5096</v>
      </c>
      <c r="F92" s="4">
        <f t="shared" si="8"/>
        <v>264</v>
      </c>
      <c r="G92" s="5">
        <f t="shared" si="9"/>
        <v>5.4635761589403975E-2</v>
      </c>
      <c r="H92" s="2" t="str">
        <f t="shared" si="10"/>
        <v>Over Budget</v>
      </c>
      <c r="I92" s="2" t="str">
        <f t="shared" si="11"/>
        <v>Review spending driver</v>
      </c>
    </row>
    <row r="93" spans="1:9">
      <c r="A93" s="3">
        <v>46235</v>
      </c>
      <c r="B93" s="2" t="s">
        <v>25</v>
      </c>
      <c r="C93" s="2" t="s">
        <v>27</v>
      </c>
      <c r="D93" s="4">
        <v>3225</v>
      </c>
      <c r="E93" s="4">
        <v>3030</v>
      </c>
      <c r="F93" s="4">
        <f t="shared" si="8"/>
        <v>-195</v>
      </c>
      <c r="G93" s="5">
        <f t="shared" si="9"/>
        <v>-6.0465116279069767E-2</v>
      </c>
      <c r="H93" s="2" t="str">
        <f t="shared" si="10"/>
        <v>Under Budget</v>
      </c>
      <c r="I93" s="2" t="str">
        <f t="shared" si="11"/>
        <v>Monitor savings opportunity</v>
      </c>
    </row>
    <row r="94" spans="1:9">
      <c r="A94" s="3">
        <v>46235</v>
      </c>
      <c r="B94" s="2" t="s">
        <v>28</v>
      </c>
      <c r="C94" s="2" t="s">
        <v>29</v>
      </c>
      <c r="D94" s="4">
        <v>4903</v>
      </c>
      <c r="E94" s="4">
        <v>4843</v>
      </c>
      <c r="F94" s="4">
        <f t="shared" si="8"/>
        <v>-60</v>
      </c>
      <c r="G94" s="5">
        <f t="shared" si="9"/>
        <v>-1.223740566999796E-2</v>
      </c>
      <c r="H94" s="2" t="str">
        <f t="shared" si="10"/>
        <v>On Track</v>
      </c>
      <c r="I94" s="2" t="str">
        <f t="shared" si="11"/>
        <v>Within expected range</v>
      </c>
    </row>
    <row r="95" spans="1:9">
      <c r="A95" s="3">
        <v>46235</v>
      </c>
      <c r="B95" s="2" t="s">
        <v>28</v>
      </c>
      <c r="C95" s="2" t="s">
        <v>30</v>
      </c>
      <c r="D95" s="4">
        <v>4557</v>
      </c>
      <c r="E95" s="4">
        <v>4419</v>
      </c>
      <c r="F95" s="4">
        <f t="shared" si="8"/>
        <v>-138</v>
      </c>
      <c r="G95" s="5">
        <f t="shared" si="9"/>
        <v>-3.0283080974325215E-2</v>
      </c>
      <c r="H95" s="2" t="str">
        <f t="shared" si="10"/>
        <v>On Track</v>
      </c>
      <c r="I95" s="2" t="str">
        <f t="shared" si="11"/>
        <v>Within expected range</v>
      </c>
    </row>
    <row r="96" spans="1:9">
      <c r="A96" s="3">
        <v>46235</v>
      </c>
      <c r="B96" s="2" t="s">
        <v>31</v>
      </c>
      <c r="C96" s="2" t="s">
        <v>32</v>
      </c>
      <c r="D96" s="4">
        <v>2852</v>
      </c>
      <c r="E96" s="4">
        <v>2880</v>
      </c>
      <c r="F96" s="4">
        <f t="shared" si="8"/>
        <v>28</v>
      </c>
      <c r="G96" s="5">
        <f t="shared" si="9"/>
        <v>9.8176718092566617E-3</v>
      </c>
      <c r="H96" s="2" t="str">
        <f t="shared" si="10"/>
        <v>On Track</v>
      </c>
      <c r="I96" s="2" t="str">
        <f t="shared" si="11"/>
        <v>Within expected range</v>
      </c>
    </row>
    <row r="97" spans="1:9">
      <c r="A97" s="3">
        <v>46235</v>
      </c>
      <c r="B97" s="2" t="s">
        <v>31</v>
      </c>
      <c r="C97" s="2" t="s">
        <v>33</v>
      </c>
      <c r="D97" s="4">
        <v>3554</v>
      </c>
      <c r="E97" s="4">
        <v>3468</v>
      </c>
      <c r="F97" s="4">
        <f t="shared" si="8"/>
        <v>-86</v>
      </c>
      <c r="G97" s="5">
        <f t="shared" si="9"/>
        <v>-2.4198086662915026E-2</v>
      </c>
      <c r="H97" s="2" t="str">
        <f t="shared" si="10"/>
        <v>On Track</v>
      </c>
      <c r="I97" s="2" t="str">
        <f t="shared" si="11"/>
        <v>Within expected range</v>
      </c>
    </row>
    <row r="98" spans="1:9">
      <c r="A98" s="3">
        <v>46266</v>
      </c>
      <c r="B98" s="2" t="s">
        <v>16</v>
      </c>
      <c r="C98" s="2" t="s">
        <v>17</v>
      </c>
      <c r="D98" s="4">
        <v>9832</v>
      </c>
      <c r="E98" s="4">
        <v>10861</v>
      </c>
      <c r="F98" s="4">
        <f t="shared" ref="F98:F129" si="12">E98-D98</f>
        <v>1029</v>
      </c>
      <c r="G98" s="5">
        <f t="shared" ref="G98:G129" si="13">IF(D98=0,0,F98/D98)</f>
        <v>0.10465825874694874</v>
      </c>
      <c r="H98" s="2" t="str">
        <f t="shared" ref="H98:H129" si="14">IF(G98&gt;0.05,"Over Budget",IF(G98&lt;-0.05,"Under Budget","On Track"))</f>
        <v>Over Budget</v>
      </c>
      <c r="I98" s="2" t="str">
        <f t="shared" ref="I98:I129" si="15">IF(H98="Over Budget","Review spending driver",IF(H98="Under Budget","Monitor savings opportunity","Within expected range"))</f>
        <v>Review spending driver</v>
      </c>
    </row>
    <row r="99" spans="1:9">
      <c r="A99" s="3">
        <v>46266</v>
      </c>
      <c r="B99" s="2" t="s">
        <v>16</v>
      </c>
      <c r="C99" s="2" t="s">
        <v>18</v>
      </c>
      <c r="D99" s="4">
        <v>9343</v>
      </c>
      <c r="E99" s="4">
        <v>10205</v>
      </c>
      <c r="F99" s="4">
        <f t="shared" si="12"/>
        <v>862</v>
      </c>
      <c r="G99" s="5">
        <f t="shared" si="13"/>
        <v>9.2261586214278074E-2</v>
      </c>
      <c r="H99" s="2" t="str">
        <f t="shared" si="14"/>
        <v>Over Budget</v>
      </c>
      <c r="I99" s="2" t="str">
        <f t="shared" si="15"/>
        <v>Review spending driver</v>
      </c>
    </row>
    <row r="100" spans="1:9">
      <c r="A100" s="3">
        <v>46266</v>
      </c>
      <c r="B100" s="2" t="s">
        <v>19</v>
      </c>
      <c r="C100" s="2" t="s">
        <v>20</v>
      </c>
      <c r="D100" s="4">
        <v>4924</v>
      </c>
      <c r="E100" s="4">
        <v>4580</v>
      </c>
      <c r="F100" s="4">
        <f t="shared" si="12"/>
        <v>-344</v>
      </c>
      <c r="G100" s="5">
        <f t="shared" si="13"/>
        <v>-6.9861900893582449E-2</v>
      </c>
      <c r="H100" s="2" t="str">
        <f t="shared" si="14"/>
        <v>Under Budget</v>
      </c>
      <c r="I100" s="2" t="str">
        <f t="shared" si="15"/>
        <v>Monitor savings opportunity</v>
      </c>
    </row>
    <row r="101" spans="1:9">
      <c r="A101" s="3">
        <v>46266</v>
      </c>
      <c r="B101" s="2" t="s">
        <v>19</v>
      </c>
      <c r="C101" s="2" t="s">
        <v>21</v>
      </c>
      <c r="D101" s="4">
        <v>7507</v>
      </c>
      <c r="E101" s="4">
        <v>8162</v>
      </c>
      <c r="F101" s="4">
        <f t="shared" si="12"/>
        <v>655</v>
      </c>
      <c r="G101" s="5">
        <f t="shared" si="13"/>
        <v>8.7251898228320232E-2</v>
      </c>
      <c r="H101" s="2" t="str">
        <f t="shared" si="14"/>
        <v>Over Budget</v>
      </c>
      <c r="I101" s="2" t="str">
        <f t="shared" si="15"/>
        <v>Review spending driver</v>
      </c>
    </row>
    <row r="102" spans="1:9">
      <c r="A102" s="3">
        <v>46266</v>
      </c>
      <c r="B102" s="2" t="s">
        <v>22</v>
      </c>
      <c r="C102" s="2" t="s">
        <v>23</v>
      </c>
      <c r="D102" s="4">
        <v>7219</v>
      </c>
      <c r="E102" s="4">
        <v>7979</v>
      </c>
      <c r="F102" s="4">
        <f t="shared" si="12"/>
        <v>760</v>
      </c>
      <c r="G102" s="5">
        <f t="shared" si="13"/>
        <v>0.10527773929907189</v>
      </c>
      <c r="H102" s="2" t="str">
        <f t="shared" si="14"/>
        <v>Over Budget</v>
      </c>
      <c r="I102" s="2" t="str">
        <f t="shared" si="15"/>
        <v>Review spending driver</v>
      </c>
    </row>
    <row r="103" spans="1:9">
      <c r="A103" s="3">
        <v>46266</v>
      </c>
      <c r="B103" s="2" t="s">
        <v>22</v>
      </c>
      <c r="C103" s="2" t="s">
        <v>24</v>
      </c>
      <c r="D103" s="4">
        <v>5295</v>
      </c>
      <c r="E103" s="4">
        <v>5048</v>
      </c>
      <c r="F103" s="4">
        <f t="shared" si="12"/>
        <v>-247</v>
      </c>
      <c r="G103" s="5">
        <f t="shared" si="13"/>
        <v>-4.6647780925401325E-2</v>
      </c>
      <c r="H103" s="2" t="str">
        <f t="shared" si="14"/>
        <v>On Track</v>
      </c>
      <c r="I103" s="2" t="str">
        <f t="shared" si="15"/>
        <v>Within expected range</v>
      </c>
    </row>
    <row r="104" spans="1:9">
      <c r="A104" s="3">
        <v>46266</v>
      </c>
      <c r="B104" s="2" t="s">
        <v>25</v>
      </c>
      <c r="C104" s="2" t="s">
        <v>26</v>
      </c>
      <c r="D104" s="4">
        <v>4607</v>
      </c>
      <c r="E104" s="4">
        <v>4435</v>
      </c>
      <c r="F104" s="4">
        <f t="shared" si="12"/>
        <v>-172</v>
      </c>
      <c r="G104" s="5">
        <f t="shared" si="13"/>
        <v>-3.7334490991968741E-2</v>
      </c>
      <c r="H104" s="2" t="str">
        <f t="shared" si="14"/>
        <v>On Track</v>
      </c>
      <c r="I104" s="2" t="str">
        <f t="shared" si="15"/>
        <v>Within expected range</v>
      </c>
    </row>
    <row r="105" spans="1:9">
      <c r="A105" s="3">
        <v>46266</v>
      </c>
      <c r="B105" s="2" t="s">
        <v>25</v>
      </c>
      <c r="C105" s="2" t="s">
        <v>27</v>
      </c>
      <c r="D105" s="4">
        <v>2882</v>
      </c>
      <c r="E105" s="4">
        <v>2685</v>
      </c>
      <c r="F105" s="4">
        <f t="shared" si="12"/>
        <v>-197</v>
      </c>
      <c r="G105" s="5">
        <f t="shared" si="13"/>
        <v>-6.8355308813324078E-2</v>
      </c>
      <c r="H105" s="2" t="str">
        <f t="shared" si="14"/>
        <v>Under Budget</v>
      </c>
      <c r="I105" s="2" t="str">
        <f t="shared" si="15"/>
        <v>Monitor savings opportunity</v>
      </c>
    </row>
    <row r="106" spans="1:9">
      <c r="A106" s="3">
        <v>46266</v>
      </c>
      <c r="B106" s="2" t="s">
        <v>28</v>
      </c>
      <c r="C106" s="2" t="s">
        <v>29</v>
      </c>
      <c r="D106" s="4">
        <v>4879</v>
      </c>
      <c r="E106" s="4">
        <v>5450</v>
      </c>
      <c r="F106" s="4">
        <f t="shared" si="12"/>
        <v>571</v>
      </c>
      <c r="G106" s="5">
        <f t="shared" si="13"/>
        <v>0.11703217872514859</v>
      </c>
      <c r="H106" s="2" t="str">
        <f t="shared" si="14"/>
        <v>Over Budget</v>
      </c>
      <c r="I106" s="2" t="str">
        <f t="shared" si="15"/>
        <v>Review spending driver</v>
      </c>
    </row>
    <row r="107" spans="1:9">
      <c r="A107" s="3">
        <v>46266</v>
      </c>
      <c r="B107" s="2" t="s">
        <v>28</v>
      </c>
      <c r="C107" s="2" t="s">
        <v>30</v>
      </c>
      <c r="D107" s="4">
        <v>4050</v>
      </c>
      <c r="E107" s="4">
        <v>4361</v>
      </c>
      <c r="F107" s="4">
        <f t="shared" si="12"/>
        <v>311</v>
      </c>
      <c r="G107" s="5">
        <f t="shared" si="13"/>
        <v>7.6790123456790121E-2</v>
      </c>
      <c r="H107" s="2" t="str">
        <f t="shared" si="14"/>
        <v>Over Budget</v>
      </c>
      <c r="I107" s="2" t="str">
        <f t="shared" si="15"/>
        <v>Review spending driver</v>
      </c>
    </row>
    <row r="108" spans="1:9">
      <c r="A108" s="3">
        <v>46266</v>
      </c>
      <c r="B108" s="2" t="s">
        <v>31</v>
      </c>
      <c r="C108" s="2" t="s">
        <v>32</v>
      </c>
      <c r="D108" s="4">
        <v>3013</v>
      </c>
      <c r="E108" s="4">
        <v>3027</v>
      </c>
      <c r="F108" s="4">
        <f t="shared" si="12"/>
        <v>14</v>
      </c>
      <c r="G108" s="5">
        <f t="shared" si="13"/>
        <v>4.6465316959840687E-3</v>
      </c>
      <c r="H108" s="2" t="str">
        <f t="shared" si="14"/>
        <v>On Track</v>
      </c>
      <c r="I108" s="2" t="str">
        <f t="shared" si="15"/>
        <v>Within expected range</v>
      </c>
    </row>
    <row r="109" spans="1:9">
      <c r="A109" s="3">
        <v>46266</v>
      </c>
      <c r="B109" s="2" t="s">
        <v>31</v>
      </c>
      <c r="C109" s="2" t="s">
        <v>33</v>
      </c>
      <c r="D109" s="4">
        <v>3940</v>
      </c>
      <c r="E109" s="4">
        <v>4409</v>
      </c>
      <c r="F109" s="4">
        <f t="shared" si="12"/>
        <v>469</v>
      </c>
      <c r="G109" s="5">
        <f t="shared" si="13"/>
        <v>0.11903553299492385</v>
      </c>
      <c r="H109" s="2" t="str">
        <f t="shared" si="14"/>
        <v>Over Budget</v>
      </c>
      <c r="I109" s="2" t="str">
        <f t="shared" si="15"/>
        <v>Review spending driver</v>
      </c>
    </row>
    <row r="110" spans="1:9">
      <c r="A110" s="3">
        <v>46296</v>
      </c>
      <c r="B110" s="2" t="s">
        <v>16</v>
      </c>
      <c r="C110" s="2" t="s">
        <v>17</v>
      </c>
      <c r="D110" s="4">
        <v>10465</v>
      </c>
      <c r="E110" s="4">
        <v>11131</v>
      </c>
      <c r="F110" s="4">
        <f t="shared" si="12"/>
        <v>666</v>
      </c>
      <c r="G110" s="5">
        <f t="shared" si="13"/>
        <v>6.3640707118967993E-2</v>
      </c>
      <c r="H110" s="2" t="str">
        <f t="shared" si="14"/>
        <v>Over Budget</v>
      </c>
      <c r="I110" s="2" t="str">
        <f t="shared" si="15"/>
        <v>Review spending driver</v>
      </c>
    </row>
    <row r="111" spans="1:9">
      <c r="A111" s="3">
        <v>46296</v>
      </c>
      <c r="B111" s="2" t="s">
        <v>16</v>
      </c>
      <c r="C111" s="2" t="s">
        <v>18</v>
      </c>
      <c r="D111" s="4">
        <v>8798</v>
      </c>
      <c r="E111" s="4">
        <v>8616</v>
      </c>
      <c r="F111" s="4">
        <f t="shared" si="12"/>
        <v>-182</v>
      </c>
      <c r="G111" s="5">
        <f t="shared" si="13"/>
        <v>-2.0686519663559898E-2</v>
      </c>
      <c r="H111" s="2" t="str">
        <f t="shared" si="14"/>
        <v>On Track</v>
      </c>
      <c r="I111" s="2" t="str">
        <f t="shared" si="15"/>
        <v>Within expected range</v>
      </c>
    </row>
    <row r="112" spans="1:9">
      <c r="A112" s="3">
        <v>46296</v>
      </c>
      <c r="B112" s="2" t="s">
        <v>19</v>
      </c>
      <c r="C112" s="2" t="s">
        <v>20</v>
      </c>
      <c r="D112" s="4">
        <v>5332</v>
      </c>
      <c r="E112" s="4">
        <v>5523</v>
      </c>
      <c r="F112" s="4">
        <f t="shared" si="12"/>
        <v>191</v>
      </c>
      <c r="G112" s="5">
        <f t="shared" si="13"/>
        <v>3.5821455363840959E-2</v>
      </c>
      <c r="H112" s="2" t="str">
        <f t="shared" si="14"/>
        <v>On Track</v>
      </c>
      <c r="I112" s="2" t="str">
        <f t="shared" si="15"/>
        <v>Within expected range</v>
      </c>
    </row>
    <row r="113" spans="1:9">
      <c r="A113" s="3">
        <v>46296</v>
      </c>
      <c r="B113" s="2" t="s">
        <v>19</v>
      </c>
      <c r="C113" s="2" t="s">
        <v>21</v>
      </c>
      <c r="D113" s="4">
        <v>6883</v>
      </c>
      <c r="E113" s="4">
        <v>7362</v>
      </c>
      <c r="F113" s="4">
        <f t="shared" si="12"/>
        <v>479</v>
      </c>
      <c r="G113" s="5">
        <f t="shared" si="13"/>
        <v>6.9591747784396335E-2</v>
      </c>
      <c r="H113" s="2" t="str">
        <f t="shared" si="14"/>
        <v>Over Budget</v>
      </c>
      <c r="I113" s="2" t="str">
        <f t="shared" si="15"/>
        <v>Review spending driver</v>
      </c>
    </row>
    <row r="114" spans="1:9">
      <c r="A114" s="3">
        <v>46296</v>
      </c>
      <c r="B114" s="2" t="s">
        <v>22</v>
      </c>
      <c r="C114" s="2" t="s">
        <v>23</v>
      </c>
      <c r="D114" s="4">
        <v>6015</v>
      </c>
      <c r="E114" s="4">
        <v>6237</v>
      </c>
      <c r="F114" s="4">
        <f t="shared" si="12"/>
        <v>222</v>
      </c>
      <c r="G114" s="5">
        <f t="shared" si="13"/>
        <v>3.6907730673316708E-2</v>
      </c>
      <c r="H114" s="2" t="str">
        <f t="shared" si="14"/>
        <v>On Track</v>
      </c>
      <c r="I114" s="2" t="str">
        <f t="shared" si="15"/>
        <v>Within expected range</v>
      </c>
    </row>
    <row r="115" spans="1:9">
      <c r="A115" s="3">
        <v>46296</v>
      </c>
      <c r="B115" s="2" t="s">
        <v>22</v>
      </c>
      <c r="C115" s="2" t="s">
        <v>24</v>
      </c>
      <c r="D115" s="4">
        <v>4953</v>
      </c>
      <c r="E115" s="4">
        <v>5401</v>
      </c>
      <c r="F115" s="4">
        <f t="shared" si="12"/>
        <v>448</v>
      </c>
      <c r="G115" s="5">
        <f t="shared" si="13"/>
        <v>9.0450232182515647E-2</v>
      </c>
      <c r="H115" s="2" t="str">
        <f t="shared" si="14"/>
        <v>Over Budget</v>
      </c>
      <c r="I115" s="2" t="str">
        <f t="shared" si="15"/>
        <v>Review spending driver</v>
      </c>
    </row>
    <row r="116" spans="1:9">
      <c r="A116" s="3">
        <v>46296</v>
      </c>
      <c r="B116" s="2" t="s">
        <v>25</v>
      </c>
      <c r="C116" s="2" t="s">
        <v>26</v>
      </c>
      <c r="D116" s="4">
        <v>4303</v>
      </c>
      <c r="E116" s="4">
        <v>4527</v>
      </c>
      <c r="F116" s="4">
        <f t="shared" si="12"/>
        <v>224</v>
      </c>
      <c r="G116" s="5">
        <f t="shared" si="13"/>
        <v>5.2056704624680455E-2</v>
      </c>
      <c r="H116" s="2" t="str">
        <f t="shared" si="14"/>
        <v>Over Budget</v>
      </c>
      <c r="I116" s="2" t="str">
        <f t="shared" si="15"/>
        <v>Review spending driver</v>
      </c>
    </row>
    <row r="117" spans="1:9">
      <c r="A117" s="3">
        <v>46296</v>
      </c>
      <c r="B117" s="2" t="s">
        <v>25</v>
      </c>
      <c r="C117" s="2" t="s">
        <v>27</v>
      </c>
      <c r="D117" s="4">
        <v>2693</v>
      </c>
      <c r="E117" s="4">
        <v>2416</v>
      </c>
      <c r="F117" s="4">
        <f t="shared" si="12"/>
        <v>-277</v>
      </c>
      <c r="G117" s="5">
        <f t="shared" si="13"/>
        <v>-0.10285926476049016</v>
      </c>
      <c r="H117" s="2" t="str">
        <f t="shared" si="14"/>
        <v>Under Budget</v>
      </c>
      <c r="I117" s="2" t="str">
        <f t="shared" si="15"/>
        <v>Monitor savings opportunity</v>
      </c>
    </row>
    <row r="118" spans="1:9">
      <c r="A118" s="3">
        <v>46296</v>
      </c>
      <c r="B118" s="2" t="s">
        <v>28</v>
      </c>
      <c r="C118" s="2" t="s">
        <v>29</v>
      </c>
      <c r="D118" s="4">
        <v>5095</v>
      </c>
      <c r="E118" s="4">
        <v>5375</v>
      </c>
      <c r="F118" s="4">
        <f t="shared" si="12"/>
        <v>280</v>
      </c>
      <c r="G118" s="5">
        <f t="shared" si="13"/>
        <v>5.49558390578999E-2</v>
      </c>
      <c r="H118" s="2" t="str">
        <f t="shared" si="14"/>
        <v>Over Budget</v>
      </c>
      <c r="I118" s="2" t="str">
        <f t="shared" si="15"/>
        <v>Review spending driver</v>
      </c>
    </row>
    <row r="119" spans="1:9">
      <c r="A119" s="3">
        <v>46296</v>
      </c>
      <c r="B119" s="2" t="s">
        <v>28</v>
      </c>
      <c r="C119" s="2" t="s">
        <v>30</v>
      </c>
      <c r="D119" s="4">
        <v>4025</v>
      </c>
      <c r="E119" s="4">
        <v>3800</v>
      </c>
      <c r="F119" s="4">
        <f t="shared" si="12"/>
        <v>-225</v>
      </c>
      <c r="G119" s="5">
        <f t="shared" si="13"/>
        <v>-5.5900621118012424E-2</v>
      </c>
      <c r="H119" s="2" t="str">
        <f t="shared" si="14"/>
        <v>Under Budget</v>
      </c>
      <c r="I119" s="2" t="str">
        <f t="shared" si="15"/>
        <v>Monitor savings opportunity</v>
      </c>
    </row>
    <row r="120" spans="1:9">
      <c r="A120" s="3">
        <v>46296</v>
      </c>
      <c r="B120" s="2" t="s">
        <v>31</v>
      </c>
      <c r="C120" s="2" t="s">
        <v>32</v>
      </c>
      <c r="D120" s="4">
        <v>3277</v>
      </c>
      <c r="E120" s="4">
        <v>3176</v>
      </c>
      <c r="F120" s="4">
        <f t="shared" si="12"/>
        <v>-101</v>
      </c>
      <c r="G120" s="5">
        <f t="shared" si="13"/>
        <v>-3.0820872749465975E-2</v>
      </c>
      <c r="H120" s="2" t="str">
        <f t="shared" si="14"/>
        <v>On Track</v>
      </c>
      <c r="I120" s="2" t="str">
        <f t="shared" si="15"/>
        <v>Within expected range</v>
      </c>
    </row>
    <row r="121" spans="1:9">
      <c r="A121" s="3">
        <v>46296</v>
      </c>
      <c r="B121" s="2" t="s">
        <v>31</v>
      </c>
      <c r="C121" s="2" t="s">
        <v>33</v>
      </c>
      <c r="D121" s="4">
        <v>3678</v>
      </c>
      <c r="E121" s="4">
        <v>3839</v>
      </c>
      <c r="F121" s="4">
        <f t="shared" si="12"/>
        <v>161</v>
      </c>
      <c r="G121" s="5">
        <f t="shared" si="13"/>
        <v>4.3773790103317022E-2</v>
      </c>
      <c r="H121" s="2" t="str">
        <f t="shared" si="14"/>
        <v>On Track</v>
      </c>
      <c r="I121" s="2" t="str">
        <f t="shared" si="15"/>
        <v>Within expected range</v>
      </c>
    </row>
    <row r="122" spans="1:9">
      <c r="A122" s="3">
        <v>46327</v>
      </c>
      <c r="B122" s="2" t="s">
        <v>16</v>
      </c>
      <c r="C122" s="2" t="s">
        <v>17</v>
      </c>
      <c r="D122" s="4">
        <v>10183</v>
      </c>
      <c r="E122" s="4">
        <v>10557</v>
      </c>
      <c r="F122" s="4">
        <f t="shared" si="12"/>
        <v>374</v>
      </c>
      <c r="G122" s="5">
        <f t="shared" si="13"/>
        <v>3.6727879799666109E-2</v>
      </c>
      <c r="H122" s="2" t="str">
        <f t="shared" si="14"/>
        <v>On Track</v>
      </c>
      <c r="I122" s="2" t="str">
        <f t="shared" si="15"/>
        <v>Within expected range</v>
      </c>
    </row>
    <row r="123" spans="1:9">
      <c r="A123" s="3">
        <v>46327</v>
      </c>
      <c r="B123" s="2" t="s">
        <v>16</v>
      </c>
      <c r="C123" s="2" t="s">
        <v>18</v>
      </c>
      <c r="D123" s="4">
        <v>9493</v>
      </c>
      <c r="E123" s="4">
        <v>10508</v>
      </c>
      <c r="F123" s="4">
        <f t="shared" si="12"/>
        <v>1015</v>
      </c>
      <c r="G123" s="5">
        <f t="shared" si="13"/>
        <v>0.10692088907616139</v>
      </c>
      <c r="H123" s="2" t="str">
        <f t="shared" si="14"/>
        <v>Over Budget</v>
      </c>
      <c r="I123" s="2" t="str">
        <f t="shared" si="15"/>
        <v>Review spending driver</v>
      </c>
    </row>
    <row r="124" spans="1:9">
      <c r="A124" s="3">
        <v>46327</v>
      </c>
      <c r="B124" s="2" t="s">
        <v>19</v>
      </c>
      <c r="C124" s="2" t="s">
        <v>20</v>
      </c>
      <c r="D124" s="4">
        <v>4587</v>
      </c>
      <c r="E124" s="4">
        <v>4877</v>
      </c>
      <c r="F124" s="4">
        <f t="shared" si="12"/>
        <v>290</v>
      </c>
      <c r="G124" s="5">
        <f t="shared" si="13"/>
        <v>6.3222149553084805E-2</v>
      </c>
      <c r="H124" s="2" t="str">
        <f t="shared" si="14"/>
        <v>Over Budget</v>
      </c>
      <c r="I124" s="2" t="str">
        <f t="shared" si="15"/>
        <v>Review spending driver</v>
      </c>
    </row>
    <row r="125" spans="1:9">
      <c r="A125" s="3">
        <v>46327</v>
      </c>
      <c r="B125" s="2" t="s">
        <v>19</v>
      </c>
      <c r="C125" s="2" t="s">
        <v>21</v>
      </c>
      <c r="D125" s="4">
        <v>6468</v>
      </c>
      <c r="E125" s="4">
        <v>6463</v>
      </c>
      <c r="F125" s="4">
        <f t="shared" si="12"/>
        <v>-5</v>
      </c>
      <c r="G125" s="5">
        <f t="shared" si="13"/>
        <v>-7.7303648732220164E-4</v>
      </c>
      <c r="H125" s="2" t="str">
        <f t="shared" si="14"/>
        <v>On Track</v>
      </c>
      <c r="I125" s="2" t="str">
        <f t="shared" si="15"/>
        <v>Within expected range</v>
      </c>
    </row>
    <row r="126" spans="1:9">
      <c r="A126" s="3">
        <v>46327</v>
      </c>
      <c r="B126" s="2" t="s">
        <v>22</v>
      </c>
      <c r="C126" s="2" t="s">
        <v>23</v>
      </c>
      <c r="D126" s="4">
        <v>6827</v>
      </c>
      <c r="E126" s="4">
        <v>6690</v>
      </c>
      <c r="F126" s="4">
        <f t="shared" si="12"/>
        <v>-137</v>
      </c>
      <c r="G126" s="5">
        <f t="shared" si="13"/>
        <v>-2.0067379522484254E-2</v>
      </c>
      <c r="H126" s="2" t="str">
        <f t="shared" si="14"/>
        <v>On Track</v>
      </c>
      <c r="I126" s="2" t="str">
        <f t="shared" si="15"/>
        <v>Within expected range</v>
      </c>
    </row>
    <row r="127" spans="1:9">
      <c r="A127" s="3">
        <v>46327</v>
      </c>
      <c r="B127" s="2" t="s">
        <v>22</v>
      </c>
      <c r="C127" s="2" t="s">
        <v>24</v>
      </c>
      <c r="D127" s="4">
        <v>4768</v>
      </c>
      <c r="E127" s="4">
        <v>5104</v>
      </c>
      <c r="F127" s="4">
        <f t="shared" si="12"/>
        <v>336</v>
      </c>
      <c r="G127" s="5">
        <f t="shared" si="13"/>
        <v>7.0469798657718116E-2</v>
      </c>
      <c r="H127" s="2" t="str">
        <f t="shared" si="14"/>
        <v>Over Budget</v>
      </c>
      <c r="I127" s="2" t="str">
        <f t="shared" si="15"/>
        <v>Review spending driver</v>
      </c>
    </row>
    <row r="128" spans="1:9">
      <c r="A128" s="3">
        <v>46327</v>
      </c>
      <c r="B128" s="2" t="s">
        <v>25</v>
      </c>
      <c r="C128" s="2" t="s">
        <v>26</v>
      </c>
      <c r="D128" s="4">
        <v>4225</v>
      </c>
      <c r="E128" s="4">
        <v>4274</v>
      </c>
      <c r="F128" s="4">
        <f t="shared" si="12"/>
        <v>49</v>
      </c>
      <c r="G128" s="5">
        <f t="shared" si="13"/>
        <v>1.1597633136094675E-2</v>
      </c>
      <c r="H128" s="2" t="str">
        <f t="shared" si="14"/>
        <v>On Track</v>
      </c>
      <c r="I128" s="2" t="str">
        <f t="shared" si="15"/>
        <v>Within expected range</v>
      </c>
    </row>
    <row r="129" spans="1:9">
      <c r="A129" s="3">
        <v>46327</v>
      </c>
      <c r="B129" s="2" t="s">
        <v>25</v>
      </c>
      <c r="C129" s="2" t="s">
        <v>27</v>
      </c>
      <c r="D129" s="4">
        <v>3233</v>
      </c>
      <c r="E129" s="4">
        <v>3618</v>
      </c>
      <c r="F129" s="4">
        <f t="shared" si="12"/>
        <v>385</v>
      </c>
      <c r="G129" s="5">
        <f t="shared" si="13"/>
        <v>0.11908444169502011</v>
      </c>
      <c r="H129" s="2" t="str">
        <f t="shared" si="14"/>
        <v>Over Budget</v>
      </c>
      <c r="I129" s="2" t="str">
        <f t="shared" si="15"/>
        <v>Review spending driver</v>
      </c>
    </row>
    <row r="130" spans="1:9">
      <c r="A130" s="3">
        <v>46327</v>
      </c>
      <c r="B130" s="2" t="s">
        <v>28</v>
      </c>
      <c r="C130" s="2" t="s">
        <v>29</v>
      </c>
      <c r="D130" s="4">
        <v>4573</v>
      </c>
      <c r="E130" s="4">
        <v>4402</v>
      </c>
      <c r="F130" s="4">
        <f t="shared" ref="F130:F161" si="16">E130-D130</f>
        <v>-171</v>
      </c>
      <c r="G130" s="5">
        <f t="shared" ref="G130:G161" si="17">IF(D130=0,0,F130/D130)</f>
        <v>-3.7393396020118083E-2</v>
      </c>
      <c r="H130" s="2" t="str">
        <f t="shared" ref="H130:H161" si="18">IF(G130&gt;0.05,"Over Budget",IF(G130&lt;-0.05,"Under Budget","On Track"))</f>
        <v>On Track</v>
      </c>
      <c r="I130" s="2" t="str">
        <f t="shared" ref="I130:I161" si="19">IF(H130="Over Budget","Review spending driver",IF(H130="Under Budget","Monitor savings opportunity","Within expected range"))</f>
        <v>Within expected range</v>
      </c>
    </row>
    <row r="131" spans="1:9">
      <c r="A131" s="3">
        <v>46327</v>
      </c>
      <c r="B131" s="2" t="s">
        <v>28</v>
      </c>
      <c r="C131" s="2" t="s">
        <v>30</v>
      </c>
      <c r="D131" s="4">
        <v>4050</v>
      </c>
      <c r="E131" s="4">
        <v>4482</v>
      </c>
      <c r="F131" s="4">
        <f t="shared" si="16"/>
        <v>432</v>
      </c>
      <c r="G131" s="5">
        <f t="shared" si="17"/>
        <v>0.10666666666666667</v>
      </c>
      <c r="H131" s="2" t="str">
        <f t="shared" si="18"/>
        <v>Over Budget</v>
      </c>
      <c r="I131" s="2" t="str">
        <f t="shared" si="19"/>
        <v>Review spending driver</v>
      </c>
    </row>
    <row r="132" spans="1:9">
      <c r="A132" s="3">
        <v>46327</v>
      </c>
      <c r="B132" s="2" t="s">
        <v>31</v>
      </c>
      <c r="C132" s="2" t="s">
        <v>32</v>
      </c>
      <c r="D132" s="4">
        <v>3272</v>
      </c>
      <c r="E132" s="4">
        <v>3586</v>
      </c>
      <c r="F132" s="4">
        <f t="shared" si="16"/>
        <v>314</v>
      </c>
      <c r="G132" s="5">
        <f t="shared" si="17"/>
        <v>9.5965770171149142E-2</v>
      </c>
      <c r="H132" s="2" t="str">
        <f t="shared" si="18"/>
        <v>Over Budget</v>
      </c>
      <c r="I132" s="2" t="str">
        <f t="shared" si="19"/>
        <v>Review spending driver</v>
      </c>
    </row>
    <row r="133" spans="1:9">
      <c r="A133" s="3">
        <v>46327</v>
      </c>
      <c r="B133" s="2" t="s">
        <v>31</v>
      </c>
      <c r="C133" s="2" t="s">
        <v>33</v>
      </c>
      <c r="D133" s="4">
        <v>3516</v>
      </c>
      <c r="E133" s="4">
        <v>3346</v>
      </c>
      <c r="F133" s="4">
        <f t="shared" si="16"/>
        <v>-170</v>
      </c>
      <c r="G133" s="5">
        <f t="shared" si="17"/>
        <v>-4.8350398179749718E-2</v>
      </c>
      <c r="H133" s="2" t="str">
        <f t="shared" si="18"/>
        <v>On Track</v>
      </c>
      <c r="I133" s="2" t="str">
        <f t="shared" si="19"/>
        <v>Within expected range</v>
      </c>
    </row>
    <row r="134" spans="1:9">
      <c r="A134" s="3">
        <v>46357</v>
      </c>
      <c r="B134" s="2" t="s">
        <v>16</v>
      </c>
      <c r="C134" s="2" t="s">
        <v>17</v>
      </c>
      <c r="D134" s="4">
        <v>11041</v>
      </c>
      <c r="E134" s="4">
        <v>11711</v>
      </c>
      <c r="F134" s="4">
        <f t="shared" si="16"/>
        <v>670</v>
      </c>
      <c r="G134" s="5">
        <f t="shared" si="17"/>
        <v>6.0682909156779277E-2</v>
      </c>
      <c r="H134" s="2" t="str">
        <f t="shared" si="18"/>
        <v>Over Budget</v>
      </c>
      <c r="I134" s="2" t="str">
        <f t="shared" si="19"/>
        <v>Review spending driver</v>
      </c>
    </row>
    <row r="135" spans="1:9">
      <c r="A135" s="3">
        <v>46357</v>
      </c>
      <c r="B135" s="2" t="s">
        <v>16</v>
      </c>
      <c r="C135" s="2" t="s">
        <v>18</v>
      </c>
      <c r="D135" s="4">
        <v>9661</v>
      </c>
      <c r="E135" s="4">
        <v>10796</v>
      </c>
      <c r="F135" s="4">
        <f t="shared" si="16"/>
        <v>1135</v>
      </c>
      <c r="G135" s="5">
        <f t="shared" si="17"/>
        <v>0.11748266225028466</v>
      </c>
      <c r="H135" s="2" t="str">
        <f t="shared" si="18"/>
        <v>Over Budget</v>
      </c>
      <c r="I135" s="2" t="str">
        <f t="shared" si="19"/>
        <v>Review spending driver</v>
      </c>
    </row>
    <row r="136" spans="1:9">
      <c r="A136" s="3">
        <v>46357</v>
      </c>
      <c r="B136" s="2" t="s">
        <v>19</v>
      </c>
      <c r="C136" s="2" t="s">
        <v>20</v>
      </c>
      <c r="D136" s="4">
        <v>5025</v>
      </c>
      <c r="E136" s="4">
        <v>4631</v>
      </c>
      <c r="F136" s="4">
        <f t="shared" si="16"/>
        <v>-394</v>
      </c>
      <c r="G136" s="5">
        <f t="shared" si="17"/>
        <v>-7.8407960199004978E-2</v>
      </c>
      <c r="H136" s="2" t="str">
        <f t="shared" si="18"/>
        <v>Under Budget</v>
      </c>
      <c r="I136" s="2" t="str">
        <f t="shared" si="19"/>
        <v>Monitor savings opportunity</v>
      </c>
    </row>
    <row r="137" spans="1:9">
      <c r="A137" s="3">
        <v>46357</v>
      </c>
      <c r="B137" s="2" t="s">
        <v>19</v>
      </c>
      <c r="C137" s="2" t="s">
        <v>21</v>
      </c>
      <c r="D137" s="4">
        <v>7258</v>
      </c>
      <c r="E137" s="4">
        <v>7112</v>
      </c>
      <c r="F137" s="4">
        <f t="shared" si="16"/>
        <v>-146</v>
      </c>
      <c r="G137" s="5">
        <f t="shared" si="17"/>
        <v>-2.0115734362083217E-2</v>
      </c>
      <c r="H137" s="2" t="str">
        <f t="shared" si="18"/>
        <v>On Track</v>
      </c>
      <c r="I137" s="2" t="str">
        <f t="shared" si="19"/>
        <v>Within expected range</v>
      </c>
    </row>
    <row r="138" spans="1:9">
      <c r="A138" s="3">
        <v>46357</v>
      </c>
      <c r="B138" s="2" t="s">
        <v>22</v>
      </c>
      <c r="C138" s="2" t="s">
        <v>23</v>
      </c>
      <c r="D138" s="4">
        <v>6816</v>
      </c>
      <c r="E138" s="4">
        <v>7551</v>
      </c>
      <c r="F138" s="4">
        <f t="shared" si="16"/>
        <v>735</v>
      </c>
      <c r="G138" s="5">
        <f t="shared" si="17"/>
        <v>0.10783450704225352</v>
      </c>
      <c r="H138" s="2" t="str">
        <f t="shared" si="18"/>
        <v>Over Budget</v>
      </c>
      <c r="I138" s="2" t="str">
        <f t="shared" si="19"/>
        <v>Review spending driver</v>
      </c>
    </row>
    <row r="139" spans="1:9">
      <c r="A139" s="3">
        <v>46357</v>
      </c>
      <c r="B139" s="2" t="s">
        <v>22</v>
      </c>
      <c r="C139" s="2" t="s">
        <v>24</v>
      </c>
      <c r="D139" s="4">
        <v>4588</v>
      </c>
      <c r="E139" s="4">
        <v>4327</v>
      </c>
      <c r="F139" s="4">
        <f t="shared" si="16"/>
        <v>-261</v>
      </c>
      <c r="G139" s="5">
        <f t="shared" si="17"/>
        <v>-5.6887532693984305E-2</v>
      </c>
      <c r="H139" s="2" t="str">
        <f t="shared" si="18"/>
        <v>Under Budget</v>
      </c>
      <c r="I139" s="2" t="str">
        <f t="shared" si="19"/>
        <v>Monitor savings opportunity</v>
      </c>
    </row>
    <row r="140" spans="1:9">
      <c r="A140" s="3">
        <v>46357</v>
      </c>
      <c r="B140" s="2" t="s">
        <v>25</v>
      </c>
      <c r="C140" s="2" t="s">
        <v>26</v>
      </c>
      <c r="D140" s="4">
        <v>4257</v>
      </c>
      <c r="E140" s="4">
        <v>4387</v>
      </c>
      <c r="F140" s="4">
        <f t="shared" si="16"/>
        <v>130</v>
      </c>
      <c r="G140" s="5">
        <f t="shared" si="17"/>
        <v>3.0537937514681701E-2</v>
      </c>
      <c r="H140" s="2" t="str">
        <f t="shared" si="18"/>
        <v>On Track</v>
      </c>
      <c r="I140" s="2" t="str">
        <f t="shared" si="19"/>
        <v>Within expected range</v>
      </c>
    </row>
    <row r="141" spans="1:9">
      <c r="A141" s="3">
        <v>46357</v>
      </c>
      <c r="B141" s="2" t="s">
        <v>25</v>
      </c>
      <c r="C141" s="2" t="s">
        <v>27</v>
      </c>
      <c r="D141" s="4">
        <v>2806</v>
      </c>
      <c r="E141" s="4">
        <v>2921</v>
      </c>
      <c r="F141" s="4">
        <f t="shared" si="16"/>
        <v>115</v>
      </c>
      <c r="G141" s="5">
        <f t="shared" si="17"/>
        <v>4.0983606557377046E-2</v>
      </c>
      <c r="H141" s="2" t="str">
        <f t="shared" si="18"/>
        <v>On Track</v>
      </c>
      <c r="I141" s="2" t="str">
        <f t="shared" si="19"/>
        <v>Within expected range</v>
      </c>
    </row>
    <row r="142" spans="1:9">
      <c r="A142" s="3">
        <v>46357</v>
      </c>
      <c r="B142" s="2" t="s">
        <v>28</v>
      </c>
      <c r="C142" s="2" t="s">
        <v>29</v>
      </c>
      <c r="D142" s="4">
        <v>5218</v>
      </c>
      <c r="E142" s="4">
        <v>5013</v>
      </c>
      <c r="F142" s="4">
        <f t="shared" si="16"/>
        <v>-205</v>
      </c>
      <c r="G142" s="5">
        <f t="shared" si="17"/>
        <v>-3.9287083173629743E-2</v>
      </c>
      <c r="H142" s="2" t="str">
        <f t="shared" si="18"/>
        <v>On Track</v>
      </c>
      <c r="I142" s="2" t="str">
        <f t="shared" si="19"/>
        <v>Within expected range</v>
      </c>
    </row>
    <row r="143" spans="1:9">
      <c r="A143" s="3">
        <v>46357</v>
      </c>
      <c r="B143" s="2" t="s">
        <v>28</v>
      </c>
      <c r="C143" s="2" t="s">
        <v>30</v>
      </c>
      <c r="D143" s="4">
        <v>4364</v>
      </c>
      <c r="E143" s="4">
        <v>4245</v>
      </c>
      <c r="F143" s="4">
        <f t="shared" si="16"/>
        <v>-119</v>
      </c>
      <c r="G143" s="5">
        <f t="shared" si="17"/>
        <v>-2.7268560953253897E-2</v>
      </c>
      <c r="H143" s="2" t="str">
        <f t="shared" si="18"/>
        <v>On Track</v>
      </c>
      <c r="I143" s="2" t="str">
        <f t="shared" si="19"/>
        <v>Within expected range</v>
      </c>
    </row>
    <row r="144" spans="1:9">
      <c r="A144" s="3">
        <v>46357</v>
      </c>
      <c r="B144" s="2" t="s">
        <v>31</v>
      </c>
      <c r="C144" s="2" t="s">
        <v>32</v>
      </c>
      <c r="D144" s="4">
        <v>3033</v>
      </c>
      <c r="E144" s="4">
        <v>3340</v>
      </c>
      <c r="F144" s="4">
        <f t="shared" si="16"/>
        <v>307</v>
      </c>
      <c r="G144" s="5">
        <f t="shared" si="17"/>
        <v>0.10121991427629409</v>
      </c>
      <c r="H144" s="2" t="str">
        <f t="shared" si="18"/>
        <v>Over Budget</v>
      </c>
      <c r="I144" s="2" t="str">
        <f t="shared" si="19"/>
        <v>Review spending driver</v>
      </c>
    </row>
    <row r="145" spans="1:9">
      <c r="A145" s="3">
        <v>46357</v>
      </c>
      <c r="B145" s="2" t="s">
        <v>31</v>
      </c>
      <c r="C145" s="2" t="s">
        <v>33</v>
      </c>
      <c r="D145" s="4">
        <v>3860</v>
      </c>
      <c r="E145" s="4">
        <v>3622</v>
      </c>
      <c r="F145" s="4">
        <f t="shared" si="16"/>
        <v>-238</v>
      </c>
      <c r="G145" s="5">
        <f t="shared" si="17"/>
        <v>-6.1658031088082904E-2</v>
      </c>
      <c r="H145" s="2" t="str">
        <f t="shared" si="18"/>
        <v>Under Budget</v>
      </c>
      <c r="I145" s="2" t="str">
        <f t="shared" si="19"/>
        <v>Monitor savings opportunity</v>
      </c>
    </row>
  </sheetData>
  <conditionalFormatting sqref="H2:H145">
    <cfRule type="expression" dxfId="2" priority="1">
      <formula>H2="Over Budget"</formula>
    </cfRule>
    <cfRule type="expression" dxfId="1" priority="2">
      <formula>H2="Under Budget"</formula>
    </cfRule>
    <cfRule type="expression" dxfId="0" priority="3">
      <formula>H2="On Track"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/>
  </sheetViews>
  <sheetFormatPr defaultRowHeight="14"/>
  <cols>
    <col min="1" max="1" width="13" customWidth="1"/>
    <col min="2" max="3" width="15" customWidth="1"/>
    <col min="4" max="4" width="13" customWidth="1"/>
    <col min="5" max="5" width="12" customWidth="1"/>
    <col min="6" max="6" width="14" customWidth="1"/>
  </cols>
  <sheetData>
    <row r="1" spans="1:26" ht="14.5">
      <c r="A1" s="15" t="s">
        <v>8</v>
      </c>
      <c r="B1" s="15" t="s">
        <v>1</v>
      </c>
      <c r="C1" s="15" t="s">
        <v>2</v>
      </c>
      <c r="D1" s="15" t="s">
        <v>13</v>
      </c>
      <c r="E1" s="15" t="s">
        <v>4</v>
      </c>
      <c r="F1" s="15" t="s">
        <v>14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6">
        <v>46023</v>
      </c>
      <c r="B2" s="7">
        <f>SUMIFS('Budget vs Actual Data'!$D:$D,'Budget vs Actual Data'!$A:$A,A2)</f>
        <v>66463</v>
      </c>
      <c r="C2" s="7">
        <f>SUMIFS('Budget vs Actual Data'!$E:$E,'Budget vs Actual Data'!$A:$A,A2)</f>
        <v>64117</v>
      </c>
      <c r="D2" s="7">
        <f t="shared" ref="D2:D14" si="0">C2-B2</f>
        <v>-2346</v>
      </c>
      <c r="E2" s="8">
        <f t="shared" ref="E2:E14" si="1">IF(B2=0,0,D2/B2)</f>
        <v>-3.5297834885575433E-2</v>
      </c>
      <c r="F2" t="str">
        <f t="shared" ref="F2:F14" si="2">IF(E2&gt;0.05,"Over Budget",IF(E2&lt;-0.05,"Under Budget","On Track"))</f>
        <v>On Track</v>
      </c>
    </row>
    <row r="3" spans="1:26">
      <c r="A3" s="6">
        <v>46054</v>
      </c>
      <c r="B3" s="7">
        <f>SUMIFS('Budget vs Actual Data'!$D:$D,'Budget vs Actual Data'!$A:$A,A3)</f>
        <v>67320</v>
      </c>
      <c r="C3" s="7">
        <f>SUMIFS('Budget vs Actual Data'!$E:$E,'Budget vs Actual Data'!$A:$A,A3)</f>
        <v>67460</v>
      </c>
      <c r="D3" s="7">
        <f t="shared" si="0"/>
        <v>140</v>
      </c>
      <c r="E3" s="8">
        <f t="shared" si="1"/>
        <v>2.0796197266785502E-3</v>
      </c>
      <c r="F3" t="str">
        <f t="shared" si="2"/>
        <v>On Track</v>
      </c>
    </row>
    <row r="4" spans="1:26">
      <c r="A4" s="6">
        <v>46082</v>
      </c>
      <c r="B4" s="7">
        <f>SUMIFS('Budget vs Actual Data'!$D:$D,'Budget vs Actual Data'!$A:$A,A4)</f>
        <v>66031</v>
      </c>
      <c r="C4" s="7">
        <f>SUMIFS('Budget vs Actual Data'!$E:$E,'Budget vs Actual Data'!$A:$A,A4)</f>
        <v>69183</v>
      </c>
      <c r="D4" s="7">
        <f t="shared" si="0"/>
        <v>3152</v>
      </c>
      <c r="E4" s="8">
        <f t="shared" si="1"/>
        <v>4.7735154700065119E-2</v>
      </c>
      <c r="F4" t="str">
        <f t="shared" si="2"/>
        <v>On Track</v>
      </c>
    </row>
    <row r="5" spans="1:26">
      <c r="A5" s="6">
        <v>46113</v>
      </c>
      <c r="B5" s="7">
        <f>SUMIFS('Budget vs Actual Data'!$D:$D,'Budget vs Actual Data'!$A:$A,A5)</f>
        <v>67153</v>
      </c>
      <c r="C5" s="7">
        <f>SUMIFS('Budget vs Actual Data'!$E:$E,'Budget vs Actual Data'!$A:$A,A5)</f>
        <v>68567</v>
      </c>
      <c r="D5" s="7">
        <f t="shared" si="0"/>
        <v>1414</v>
      </c>
      <c r="E5" s="8">
        <f t="shared" si="1"/>
        <v>2.1056393608625081E-2</v>
      </c>
      <c r="F5" t="str">
        <f t="shared" si="2"/>
        <v>On Track</v>
      </c>
    </row>
    <row r="6" spans="1:26">
      <c r="A6" s="6">
        <v>46143</v>
      </c>
      <c r="B6" s="7">
        <f>SUMIFS('Budget vs Actual Data'!$D:$D,'Budget vs Actual Data'!$A:$A,A6)</f>
        <v>67992</v>
      </c>
      <c r="C6" s="7">
        <f>SUMIFS('Budget vs Actual Data'!$E:$E,'Budget vs Actual Data'!$A:$A,A6)</f>
        <v>70640</v>
      </c>
      <c r="D6" s="7">
        <f t="shared" si="0"/>
        <v>2648</v>
      </c>
      <c r="E6" s="8">
        <f t="shared" si="1"/>
        <v>3.8945758324508764E-2</v>
      </c>
      <c r="F6" t="str">
        <f t="shared" si="2"/>
        <v>On Track</v>
      </c>
    </row>
    <row r="7" spans="1:26">
      <c r="A7" s="6">
        <v>46174</v>
      </c>
      <c r="B7" s="7">
        <f>SUMIFS('Budget vs Actual Data'!$D:$D,'Budget vs Actual Data'!$A:$A,A7)</f>
        <v>66461</v>
      </c>
      <c r="C7" s="7">
        <f>SUMIFS('Budget vs Actual Data'!$E:$E,'Budget vs Actual Data'!$A:$A,A7)</f>
        <v>70177</v>
      </c>
      <c r="D7" s="7">
        <f t="shared" si="0"/>
        <v>3716</v>
      </c>
      <c r="E7" s="8">
        <f t="shared" si="1"/>
        <v>5.591249003174794E-2</v>
      </c>
      <c r="F7" t="str">
        <f t="shared" si="2"/>
        <v>Over Budget</v>
      </c>
    </row>
    <row r="8" spans="1:26">
      <c r="A8" s="6">
        <v>46204</v>
      </c>
      <c r="B8" s="7">
        <f>SUMIFS('Budget vs Actual Data'!$D:$D,'Budget vs Actual Data'!$A:$A,A8)</f>
        <v>65415</v>
      </c>
      <c r="C8" s="7">
        <f>SUMIFS('Budget vs Actual Data'!$E:$E,'Budget vs Actual Data'!$A:$A,A8)</f>
        <v>67709</v>
      </c>
      <c r="D8" s="7">
        <f t="shared" si="0"/>
        <v>2294</v>
      </c>
      <c r="E8" s="8">
        <f t="shared" si="1"/>
        <v>3.50684093862264E-2</v>
      </c>
      <c r="F8" t="str">
        <f t="shared" si="2"/>
        <v>On Track</v>
      </c>
    </row>
    <row r="9" spans="1:26">
      <c r="A9" s="6">
        <v>46235</v>
      </c>
      <c r="B9" s="7">
        <f>SUMIFS('Budget vs Actual Data'!$D:$D,'Budget vs Actual Data'!$A:$A,A9)</f>
        <v>66989</v>
      </c>
      <c r="C9" s="7">
        <f>SUMIFS('Budget vs Actual Data'!$E:$E,'Budget vs Actual Data'!$A:$A,A9)</f>
        <v>68405</v>
      </c>
      <c r="D9" s="7">
        <f t="shared" si="0"/>
        <v>1416</v>
      </c>
      <c r="E9" s="8">
        <f t="shared" si="1"/>
        <v>2.1137798743077221E-2</v>
      </c>
      <c r="F9" t="str">
        <f t="shared" si="2"/>
        <v>On Track</v>
      </c>
    </row>
    <row r="10" spans="1:26">
      <c r="A10" s="6">
        <v>46266</v>
      </c>
      <c r="B10" s="7">
        <f>SUMIFS('Budget vs Actual Data'!$D:$D,'Budget vs Actual Data'!$A:$A,A10)</f>
        <v>67491</v>
      </c>
      <c r="C10" s="7">
        <f>SUMIFS('Budget vs Actual Data'!$E:$E,'Budget vs Actual Data'!$A:$A,A10)</f>
        <v>71202</v>
      </c>
      <c r="D10" s="7">
        <f t="shared" si="0"/>
        <v>3711</v>
      </c>
      <c r="E10" s="8">
        <f t="shared" si="1"/>
        <v>5.4985109125661201E-2</v>
      </c>
      <c r="F10" t="str">
        <f t="shared" si="2"/>
        <v>Over Budget</v>
      </c>
    </row>
    <row r="11" spans="1:26">
      <c r="A11" s="6">
        <v>46296</v>
      </c>
      <c r="B11" s="7">
        <f>SUMIFS('Budget vs Actual Data'!$D:$D,'Budget vs Actual Data'!$A:$A,A11)</f>
        <v>65517</v>
      </c>
      <c r="C11" s="7">
        <f>SUMIFS('Budget vs Actual Data'!$E:$E,'Budget vs Actual Data'!$A:$A,A11)</f>
        <v>67403</v>
      </c>
      <c r="D11" s="7">
        <f t="shared" si="0"/>
        <v>1886</v>
      </c>
      <c r="E11" s="8">
        <f t="shared" si="1"/>
        <v>2.878642184471206E-2</v>
      </c>
      <c r="F11" t="str">
        <f t="shared" si="2"/>
        <v>On Track</v>
      </c>
    </row>
    <row r="12" spans="1:26">
      <c r="A12" s="6">
        <v>46327</v>
      </c>
      <c r="B12" s="7">
        <f>SUMIFS('Budget vs Actual Data'!$D:$D,'Budget vs Actual Data'!$A:$A,A12)</f>
        <v>65195</v>
      </c>
      <c r="C12" s="7">
        <f>SUMIFS('Budget vs Actual Data'!$E:$E,'Budget vs Actual Data'!$A:$A,A12)</f>
        <v>67907</v>
      </c>
      <c r="D12" s="7">
        <f t="shared" si="0"/>
        <v>2712</v>
      </c>
      <c r="E12" s="8">
        <f t="shared" si="1"/>
        <v>4.1598282076846384E-2</v>
      </c>
      <c r="F12" t="str">
        <f t="shared" si="2"/>
        <v>On Track</v>
      </c>
    </row>
    <row r="13" spans="1:26">
      <c r="A13" s="6">
        <v>46357</v>
      </c>
      <c r="B13" s="7">
        <f>SUMIFS('Budget vs Actual Data'!$D:$D,'Budget vs Actual Data'!$A:$A,A13)</f>
        <v>67927</v>
      </c>
      <c r="C13" s="7">
        <f>SUMIFS('Budget vs Actual Data'!$E:$E,'Budget vs Actual Data'!$A:$A,A13)</f>
        <v>69656</v>
      </c>
      <c r="D13" s="7">
        <f t="shared" si="0"/>
        <v>1729</v>
      </c>
      <c r="E13" s="8">
        <f t="shared" si="1"/>
        <v>2.5453795986868255E-2</v>
      </c>
      <c r="F13" t="str">
        <f t="shared" si="2"/>
        <v>On Track</v>
      </c>
    </row>
    <row r="14" spans="1:26">
      <c r="A14" s="9" t="s">
        <v>34</v>
      </c>
      <c r="B14" s="10">
        <f>SUM(B2:B13)</f>
        <v>799954</v>
      </c>
      <c r="C14" s="10">
        <f>SUM(C2:C13)</f>
        <v>822426</v>
      </c>
      <c r="D14" s="10">
        <f t="shared" si="0"/>
        <v>22472</v>
      </c>
      <c r="E14" s="11">
        <f t="shared" si="1"/>
        <v>2.8091615267877904E-2</v>
      </c>
      <c r="F14" s="9" t="str">
        <f t="shared" si="2"/>
        <v>On Track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4"/>
  <cols>
    <col min="1" max="1" width="18" customWidth="1"/>
    <col min="2" max="2" width="22" customWidth="1"/>
    <col min="3" max="4" width="15" customWidth="1"/>
    <col min="5" max="5" width="13" customWidth="1"/>
    <col min="6" max="6" width="12" customWidth="1"/>
    <col min="7" max="7" width="14" customWidth="1"/>
  </cols>
  <sheetData>
    <row r="1" spans="1:26" ht="14.5">
      <c r="A1" s="15" t="s">
        <v>9</v>
      </c>
      <c r="B1" s="15" t="s">
        <v>10</v>
      </c>
      <c r="C1" s="15" t="s">
        <v>1</v>
      </c>
      <c r="D1" s="15" t="s">
        <v>2</v>
      </c>
      <c r="E1" s="15" t="s">
        <v>13</v>
      </c>
      <c r="F1" s="15" t="s">
        <v>4</v>
      </c>
      <c r="G1" s="15" t="s">
        <v>14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t="s">
        <v>16</v>
      </c>
      <c r="B2" t="s">
        <v>17</v>
      </c>
      <c r="C2" s="7">
        <f>SUMIFS('Budget vs Actual Data'!$D:$D,'Budget vs Actual Data'!$B:$B,A2,'Budget vs Actual Data'!$C:$C,B2)</f>
        <v>127435</v>
      </c>
      <c r="D2" s="7">
        <f>SUMIFS('Budget vs Actual Data'!$E:$E,'Budget vs Actual Data'!$B:$B,A2,'Budget vs Actual Data'!$C:$C,B2)</f>
        <v>131181</v>
      </c>
      <c r="E2" s="7">
        <f t="shared" ref="E2:E13" si="0">D2-C2</f>
        <v>3746</v>
      </c>
      <c r="F2" s="8">
        <f t="shared" ref="F2:F13" si="1">IF(C2=0,0,E2/C2)</f>
        <v>2.9395378035861421E-2</v>
      </c>
      <c r="G2" t="str">
        <f t="shared" ref="G2:G13" si="2">IF(F2&gt;0.05,"Over Budget",IF(F2&lt;-0.05,"Under Budget","On Track"))</f>
        <v>On Track</v>
      </c>
    </row>
    <row r="3" spans="1:26">
      <c r="A3" t="s">
        <v>16</v>
      </c>
      <c r="B3" t="s">
        <v>18</v>
      </c>
      <c r="C3" s="7">
        <f>SUMIFS('Budget vs Actual Data'!$D:$D,'Budget vs Actual Data'!$B:$B,A3,'Budget vs Actual Data'!$C:$C,B3)</f>
        <v>114063</v>
      </c>
      <c r="D3" s="7">
        <f>SUMIFS('Budget vs Actual Data'!$E:$E,'Budget vs Actual Data'!$B:$B,A3,'Budget vs Actual Data'!$C:$C,B3)</f>
        <v>120218</v>
      </c>
      <c r="E3" s="7">
        <f t="shared" si="0"/>
        <v>6155</v>
      </c>
      <c r="F3" s="8">
        <f t="shared" si="1"/>
        <v>5.3961407292461183E-2</v>
      </c>
      <c r="G3" t="str">
        <f t="shared" si="2"/>
        <v>Over Budget</v>
      </c>
    </row>
    <row r="4" spans="1:26">
      <c r="A4" t="s">
        <v>19</v>
      </c>
      <c r="B4" t="s">
        <v>20</v>
      </c>
      <c r="C4" s="7">
        <f>SUMIFS('Budget vs Actual Data'!$D:$D,'Budget vs Actual Data'!$B:$B,A4,'Budget vs Actual Data'!$C:$C,B4)</f>
        <v>58334</v>
      </c>
      <c r="D4" s="7">
        <f>SUMIFS('Budget vs Actual Data'!$E:$E,'Budget vs Actual Data'!$B:$B,A4,'Budget vs Actual Data'!$C:$C,B4)</f>
        <v>59640</v>
      </c>
      <c r="E4" s="7">
        <f t="shared" si="0"/>
        <v>1306</v>
      </c>
      <c r="F4" s="8">
        <f t="shared" si="1"/>
        <v>2.2388315562107863E-2</v>
      </c>
      <c r="G4" t="str">
        <f t="shared" si="2"/>
        <v>On Track</v>
      </c>
    </row>
    <row r="5" spans="1:26">
      <c r="A5" t="s">
        <v>19</v>
      </c>
      <c r="B5" t="s">
        <v>21</v>
      </c>
      <c r="C5" s="7">
        <f>SUMIFS('Budget vs Actual Data'!$D:$D,'Budget vs Actual Data'!$B:$B,A5,'Budget vs Actual Data'!$C:$C,B5)</f>
        <v>84239</v>
      </c>
      <c r="D5" s="7">
        <f>SUMIFS('Budget vs Actual Data'!$E:$E,'Budget vs Actual Data'!$B:$B,A5,'Budget vs Actual Data'!$C:$C,B5)</f>
        <v>86251</v>
      </c>
      <c r="E5" s="7">
        <f t="shared" si="0"/>
        <v>2012</v>
      </c>
      <c r="F5" s="8">
        <f t="shared" si="1"/>
        <v>2.3884424079108253E-2</v>
      </c>
      <c r="G5" t="str">
        <f t="shared" si="2"/>
        <v>On Track</v>
      </c>
    </row>
    <row r="6" spans="1:26">
      <c r="A6" t="s">
        <v>22</v>
      </c>
      <c r="B6" t="s">
        <v>23</v>
      </c>
      <c r="C6" s="7">
        <f>SUMIFS('Budget vs Actual Data'!$D:$D,'Budget vs Actual Data'!$B:$B,A6,'Budget vs Actual Data'!$C:$C,B6)</f>
        <v>78847</v>
      </c>
      <c r="D6" s="7">
        <f>SUMIFS('Budget vs Actual Data'!$E:$E,'Budget vs Actual Data'!$B:$B,A6,'Budget vs Actual Data'!$C:$C,B6)</f>
        <v>83400</v>
      </c>
      <c r="E6" s="7">
        <f t="shared" si="0"/>
        <v>4553</v>
      </c>
      <c r="F6" s="8">
        <f t="shared" si="1"/>
        <v>5.7744746153943712E-2</v>
      </c>
      <c r="G6" t="str">
        <f t="shared" si="2"/>
        <v>Over Budget</v>
      </c>
    </row>
    <row r="7" spans="1:26">
      <c r="A7" t="s">
        <v>22</v>
      </c>
      <c r="B7" t="s">
        <v>24</v>
      </c>
      <c r="C7" s="7">
        <f>SUMIFS('Budget vs Actual Data'!$D:$D,'Budget vs Actual Data'!$B:$B,A7,'Budget vs Actual Data'!$C:$C,B7)</f>
        <v>57529</v>
      </c>
      <c r="D7" s="7">
        <f>SUMIFS('Budget vs Actual Data'!$E:$E,'Budget vs Actual Data'!$B:$B,A7,'Budget vs Actual Data'!$C:$C,B7)</f>
        <v>59076</v>
      </c>
      <c r="E7" s="7">
        <f t="shared" si="0"/>
        <v>1547</v>
      </c>
      <c r="F7" s="8">
        <f t="shared" si="1"/>
        <v>2.6890785516869752E-2</v>
      </c>
      <c r="G7" t="str">
        <f t="shared" si="2"/>
        <v>On Track</v>
      </c>
    </row>
    <row r="8" spans="1:26">
      <c r="A8" t="s">
        <v>25</v>
      </c>
      <c r="B8" t="s">
        <v>26</v>
      </c>
      <c r="C8" s="7">
        <f>SUMIFS('Budget vs Actual Data'!$D:$D,'Budget vs Actual Data'!$B:$B,A8,'Budget vs Actual Data'!$C:$C,B8)</f>
        <v>54946</v>
      </c>
      <c r="D8" s="7">
        <f>SUMIFS('Budget vs Actual Data'!$E:$E,'Budget vs Actual Data'!$B:$B,A8,'Budget vs Actual Data'!$C:$C,B8)</f>
        <v>56240</v>
      </c>
      <c r="E8" s="7">
        <f t="shared" si="0"/>
        <v>1294</v>
      </c>
      <c r="F8" s="8">
        <f t="shared" si="1"/>
        <v>2.3550394933207149E-2</v>
      </c>
      <c r="G8" t="str">
        <f t="shared" si="2"/>
        <v>On Track</v>
      </c>
    </row>
    <row r="9" spans="1:26">
      <c r="A9" t="s">
        <v>25</v>
      </c>
      <c r="B9" t="s">
        <v>27</v>
      </c>
      <c r="C9" s="7">
        <f>SUMIFS('Budget vs Actual Data'!$D:$D,'Budget vs Actual Data'!$B:$B,A9,'Budget vs Actual Data'!$C:$C,B9)</f>
        <v>35864</v>
      </c>
      <c r="D9" s="7">
        <f>SUMIFS('Budget vs Actual Data'!$E:$E,'Budget vs Actual Data'!$B:$B,A9,'Budget vs Actual Data'!$C:$C,B9)</f>
        <v>35624</v>
      </c>
      <c r="E9" s="7">
        <f t="shared" si="0"/>
        <v>-240</v>
      </c>
      <c r="F9" s="8">
        <f t="shared" si="1"/>
        <v>-6.6919473566807944E-3</v>
      </c>
      <c r="G9" t="str">
        <f t="shared" si="2"/>
        <v>On Track</v>
      </c>
    </row>
    <row r="10" spans="1:26">
      <c r="A10" t="s">
        <v>28</v>
      </c>
      <c r="B10" t="s">
        <v>29</v>
      </c>
      <c r="C10" s="7">
        <f>SUMIFS('Budget vs Actual Data'!$D:$D,'Budget vs Actual Data'!$B:$B,A10,'Budget vs Actual Data'!$C:$C,B10)</f>
        <v>58668</v>
      </c>
      <c r="D10" s="7">
        <f>SUMIFS('Budget vs Actual Data'!$E:$E,'Budget vs Actual Data'!$B:$B,A10,'Budget vs Actual Data'!$C:$C,B10)</f>
        <v>59291</v>
      </c>
      <c r="E10" s="7">
        <f t="shared" si="0"/>
        <v>623</v>
      </c>
      <c r="F10" s="8">
        <f t="shared" si="1"/>
        <v>1.0619076839162746E-2</v>
      </c>
      <c r="G10" t="str">
        <f t="shared" si="2"/>
        <v>On Track</v>
      </c>
    </row>
    <row r="11" spans="1:26">
      <c r="A11" t="s">
        <v>28</v>
      </c>
      <c r="B11" t="s">
        <v>30</v>
      </c>
      <c r="C11" s="7">
        <f>SUMIFS('Budget vs Actual Data'!$D:$D,'Budget vs Actual Data'!$B:$B,A11,'Budget vs Actual Data'!$C:$C,B11)</f>
        <v>50613</v>
      </c>
      <c r="D11" s="7">
        <f>SUMIFS('Budget vs Actual Data'!$E:$E,'Budget vs Actual Data'!$B:$B,A11,'Budget vs Actual Data'!$C:$C,B11)</f>
        <v>50908</v>
      </c>
      <c r="E11" s="7">
        <f t="shared" si="0"/>
        <v>295</v>
      </c>
      <c r="F11" s="8">
        <f t="shared" si="1"/>
        <v>5.8285420741706678E-3</v>
      </c>
      <c r="G11" t="str">
        <f t="shared" si="2"/>
        <v>On Track</v>
      </c>
    </row>
    <row r="12" spans="1:26">
      <c r="A12" t="s">
        <v>31</v>
      </c>
      <c r="B12" t="s">
        <v>32</v>
      </c>
      <c r="C12" s="7">
        <f>SUMIFS('Budget vs Actual Data'!$D:$D,'Budget vs Actual Data'!$B:$B,A12,'Budget vs Actual Data'!$C:$C,B12)</f>
        <v>36805</v>
      </c>
      <c r="D12" s="7">
        <f>SUMIFS('Budget vs Actual Data'!$E:$E,'Budget vs Actual Data'!$B:$B,A12,'Budget vs Actual Data'!$C:$C,B12)</f>
        <v>37418</v>
      </c>
      <c r="E12" s="7">
        <f t="shared" si="0"/>
        <v>613</v>
      </c>
      <c r="F12" s="8">
        <f t="shared" si="1"/>
        <v>1.6655345741067789E-2</v>
      </c>
      <c r="G12" t="str">
        <f t="shared" si="2"/>
        <v>On Track</v>
      </c>
    </row>
    <row r="13" spans="1:26">
      <c r="A13" t="s">
        <v>31</v>
      </c>
      <c r="B13" t="s">
        <v>33</v>
      </c>
      <c r="C13" s="7">
        <f>SUMIFS('Budget vs Actual Data'!$D:$D,'Budget vs Actual Data'!$B:$B,A13,'Budget vs Actual Data'!$C:$C,B13)</f>
        <v>42611</v>
      </c>
      <c r="D13" s="7">
        <f>SUMIFS('Budget vs Actual Data'!$E:$E,'Budget vs Actual Data'!$B:$B,A13,'Budget vs Actual Data'!$C:$C,B13)</f>
        <v>43179</v>
      </c>
      <c r="E13" s="7">
        <f t="shared" si="0"/>
        <v>568</v>
      </c>
      <c r="F13" s="8">
        <f t="shared" si="1"/>
        <v>1.3329891342611063E-2</v>
      </c>
      <c r="G13" t="str">
        <f t="shared" si="2"/>
        <v>On Track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Budget vs Actual Data</vt:lpstr>
      <vt:lpstr>Monthly Summary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Tebarek Ibrahim</cp:lastModifiedBy>
  <dcterms:modified xsi:type="dcterms:W3CDTF">2026-09-10T21:14:11Z</dcterms:modified>
</cp:coreProperties>
</file>